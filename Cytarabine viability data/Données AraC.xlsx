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abrunetti/Desktop/"/>
    </mc:Choice>
  </mc:AlternateContent>
  <xr:revisionPtr revIDLastSave="0" documentId="13_ncr:1_{77AD14BE-73E4-DE44-B9FD-36A3216B35E0}" xr6:coauthVersionLast="47" xr6:coauthVersionMax="47" xr10:uidLastSave="{00000000-0000-0000-0000-000000000000}"/>
  <bookViews>
    <workbookView xWindow="-37920" yWindow="-1980" windowWidth="37440" windowHeight="20860" xr2:uid="{0C080B79-F364-8344-A10B-C81C08F568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8" i="1" l="1" a="1"/>
  <c r="J58" i="1" s="1"/>
  <c r="J59" i="1" a="1"/>
  <c r="J59" i="1" s="1"/>
  <c r="J60" i="1" a="1"/>
  <c r="J60" i="1" s="1"/>
  <c r="J61" i="1" a="1"/>
  <c r="J61" i="1"/>
  <c r="J62" i="1" a="1"/>
  <c r="J62" i="1" s="1"/>
  <c r="J63" i="1" a="1"/>
  <c r="J63" i="1" s="1"/>
  <c r="J64" i="1" a="1"/>
  <c r="J64" i="1" s="1"/>
  <c r="J65" i="1" a="1"/>
  <c r="J65" i="1" s="1"/>
  <c r="J57" i="1" a="1"/>
  <c r="J57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/>
  <c r="J56" i="1" a="1"/>
  <c r="J56" i="1" s="1"/>
  <c r="J48" i="1" a="1"/>
  <c r="J48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/>
  <c r="J47" i="1" a="1"/>
  <c r="J47" i="1" s="1"/>
  <c r="J39" i="1" a="1"/>
  <c r="J39" i="1" s="1"/>
  <c r="J31" i="1" a="1"/>
  <c r="J31" i="1" s="1"/>
  <c r="J32" i="1" a="1"/>
  <c r="J32" i="1" s="1"/>
  <c r="J33" i="1" a="1"/>
  <c r="J33" i="1"/>
  <c r="J34" i="1" a="1"/>
  <c r="J34" i="1" s="1"/>
  <c r="J35" i="1" a="1"/>
  <c r="J35" i="1" s="1"/>
  <c r="J36" i="1" a="1"/>
  <c r="J36" i="1" s="1"/>
  <c r="J37" i="1" a="1"/>
  <c r="J37" i="1"/>
  <c r="J38" i="1" a="1"/>
  <c r="J38" i="1" s="1"/>
  <c r="J30" i="1" a="1"/>
  <c r="J30" i="1" s="1"/>
  <c r="J22" i="1" a="1"/>
  <c r="J22" i="1" s="1"/>
  <c r="J23" i="1" a="1"/>
  <c r="J23" i="1" s="1"/>
  <c r="J24" i="1" a="1"/>
  <c r="J24" i="1"/>
  <c r="J25" i="1" a="1"/>
  <c r="J25" i="1" s="1"/>
  <c r="J26" i="1" a="1"/>
  <c r="J26" i="1" s="1"/>
  <c r="J27" i="1" a="1"/>
  <c r="J27" i="1" s="1"/>
  <c r="J28" i="1" a="1"/>
  <c r="J28" i="1"/>
  <c r="J29" i="1" a="1"/>
  <c r="J29" i="1" s="1"/>
  <c r="J21" i="1" a="1"/>
  <c r="J21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/>
  <c r="J19" i="1" a="1"/>
  <c r="J19" i="1" s="1"/>
  <c r="J20" i="1" a="1"/>
  <c r="J20" i="1" s="1"/>
  <c r="J12" i="1" a="1"/>
  <c r="J12" i="1" s="1"/>
  <c r="J4" i="1" a="1"/>
  <c r="J4" i="1" s="1"/>
  <c r="J5" i="1" a="1"/>
  <c r="J5" i="1"/>
  <c r="J6" i="1" a="1"/>
  <c r="J6" i="1" s="1"/>
  <c r="J7" i="1" a="1"/>
  <c r="J7" i="1" s="1"/>
  <c r="J8" i="1" a="1"/>
  <c r="J8" i="1" s="1"/>
  <c r="J9" i="1" a="1"/>
  <c r="J9" i="1"/>
  <c r="J10" i="1" a="1"/>
  <c r="J10" i="1" s="1"/>
  <c r="J11" i="1" a="1"/>
  <c r="J11" i="1" s="1"/>
  <c r="J3" i="1" a="1"/>
  <c r="J3" i="1" s="1"/>
  <c r="G12" i="1" a="1"/>
  <c r="G12" i="1" s="1"/>
  <c r="G58" i="1" a="1"/>
  <c r="G58" i="1" s="1"/>
  <c r="G59" i="1" a="1"/>
  <c r="G59" i="1" s="1"/>
  <c r="G60" i="1" a="1"/>
  <c r="G60" i="1" s="1"/>
  <c r="G61" i="1" a="1"/>
  <c r="G61" i="1"/>
  <c r="G62" i="1" a="1"/>
  <c r="G62" i="1" s="1"/>
  <c r="G63" i="1" a="1"/>
  <c r="G63" i="1" s="1"/>
  <c r="G64" i="1" a="1"/>
  <c r="G64" i="1" s="1"/>
  <c r="G65" i="1" a="1"/>
  <c r="G65" i="1" s="1"/>
  <c r="G57" i="1" a="1"/>
  <c r="G57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/>
  <c r="G48" i="1" a="1"/>
  <c r="G48" i="1" s="1"/>
  <c r="G40" i="1" a="1"/>
  <c r="G40" i="1" s="1"/>
  <c r="G41" i="1" a="1"/>
  <c r="G41" i="1" s="1"/>
  <c r="G42" i="1" a="1"/>
  <c r="G42" i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39" i="1" a="1"/>
  <c r="G39" i="1" s="1"/>
  <c r="G31" i="1" a="1"/>
  <c r="G31" i="1" s="1"/>
  <c r="G32" i="1" a="1"/>
  <c r="G32" i="1"/>
  <c r="G33" i="1" a="1"/>
  <c r="G33" i="1" s="1"/>
  <c r="G34" i="1" a="1"/>
  <c r="G34" i="1" s="1"/>
  <c r="G35" i="1" a="1"/>
  <c r="G35" i="1" s="1"/>
  <c r="G36" i="1" a="1"/>
  <c r="G36" i="1"/>
  <c r="G37" i="1" a="1"/>
  <c r="G37" i="1"/>
  <c r="G38" i="1" a="1"/>
  <c r="G38" i="1" s="1"/>
  <c r="G30" i="1" a="1"/>
  <c r="G30" i="1" s="1"/>
  <c r="G29" i="1" a="1"/>
  <c r="G29" i="1" s="1"/>
  <c r="G22" i="1" a="1"/>
  <c r="G22" i="1" s="1"/>
  <c r="G23" i="1" a="1"/>
  <c r="G23" i="1" s="1"/>
  <c r="G24" i="1" a="1"/>
  <c r="G24" i="1"/>
  <c r="G25" i="1" a="1"/>
  <c r="G25" i="1" s="1"/>
  <c r="G26" i="1" a="1"/>
  <c r="G26" i="1" s="1"/>
  <c r="G27" i="1" a="1"/>
  <c r="G27" i="1" s="1"/>
  <c r="G28" i="1" a="1"/>
  <c r="G28" i="1" s="1"/>
  <c r="G21" i="1" a="1"/>
  <c r="G21" i="1" s="1"/>
  <c r="G19" i="1" a="1"/>
  <c r="G19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20" i="1" a="1"/>
  <c r="G20" i="1" s="1"/>
  <c r="G11" i="1"/>
  <c r="G10" i="1"/>
  <c r="G9" i="1"/>
  <c r="G8" i="1"/>
  <c r="G7" i="1"/>
  <c r="G6" i="1"/>
  <c r="G5" i="1"/>
  <c r="B4" i="1"/>
  <c r="G4" i="1" s="1"/>
  <c r="B3" i="1"/>
  <c r="G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<sst xmlns="http://schemas.openxmlformats.org/spreadsheetml/2006/main" count="64" uniqueCount="33">
  <si>
    <t>DMSO_CB_B2_B02_001.fcs</t>
  </si>
  <si>
    <t>DMSO_CB_C2_C02_002.fcs</t>
  </si>
  <si>
    <t>DMSO_CB_D2_D02_003.fcs</t>
  </si>
  <si>
    <t>1 nM AraC_B3_B03_004.fcs</t>
  </si>
  <si>
    <t>1 nM AraC_C3_C03_005.fcs</t>
  </si>
  <si>
    <t>1 nM AraC_D3_D03_006.fcs</t>
  </si>
  <si>
    <t>5 nM AraC_B4_B04_007.fcs</t>
  </si>
  <si>
    <t>5 nM AraC_C4_C04_008.fcs</t>
  </si>
  <si>
    <t>5 nM AraC_D4_D04_009.fcs</t>
  </si>
  <si>
    <t>25 nM AraC_B5_B05_010.fcs</t>
  </si>
  <si>
    <t>25 nM AraC_C5_C05_011.fcs</t>
  </si>
  <si>
    <t>25 nM AraC_D5_D05_012.fcs</t>
  </si>
  <si>
    <t>125 nM AraC_B6_B06_013.fcs</t>
  </si>
  <si>
    <t>125 nM AraC_C6_C06_014.fcs</t>
  </si>
  <si>
    <t>125 nM AraC_D6_D06_015.fcs</t>
  </si>
  <si>
    <t>625 nM AraC_B7_B07_016.fcs</t>
  </si>
  <si>
    <t>625 nM AraC_C7_C07_017.fcs</t>
  </si>
  <si>
    <t>625 nM AraC_D7_D07_018.fcs</t>
  </si>
  <si>
    <t>1000 nM AraC_B8_B08_019.fcs</t>
  </si>
  <si>
    <t>1000 nM AraC_C8_C08_020.fcs</t>
  </si>
  <si>
    <t>1000 nM AraC_D8_D08_021.fcs</t>
  </si>
  <si>
    <t>% cells normalized to DMSO</t>
  </si>
  <si>
    <t>Exp 1</t>
  </si>
  <si>
    <t>Cord Blood CD34+</t>
  </si>
  <si>
    <t>AraC (nM)</t>
  </si>
  <si>
    <t>Exp 2</t>
  </si>
  <si>
    <t>Exp 3</t>
  </si>
  <si>
    <t>AML 8227 CD34+</t>
  </si>
  <si>
    <t>DMSO_8227_B2_B02_001.fcs</t>
  </si>
  <si>
    <t>DMSO_8227_C2_C02_002.fcs</t>
  </si>
  <si>
    <t>DMSO_8227_D2_D02_003.fcs</t>
  </si>
  <si>
    <t>%DMSO</t>
  </si>
  <si>
    <t xml:space="preserve">%DMSO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</si>
</sst>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B0B9A-CCA7-B343-BE9F-5B012C111D9E}">
  <dimension ref="A1:J65"/>
  <sheetViews>
    <sheetView tabSelected="1" zoomScale="120" zoomScaleNormal="120" workbookViewId="0">
      <selection activeCell="E16" sqref="E16"/>
    </sheetView>
  </sheetViews>
  <sheetFormatPr baseColWidth="10" defaultRowHeight="16" x14ac:dyDescent="0.2"/>
  <cols>
    <col min="1" max="1" width="28" customWidth="1"/>
    <col min="2" max="2" width="25" customWidth="1"/>
    <col min="3" max="3" width="24.6640625" customWidth="1"/>
    <col min="4" max="4" width="25" customWidth="1"/>
    <col min="7" max="7" width="15.6640625" customWidth="1"/>
    <col min="8" max="8" width="13.33203125" customWidth="1"/>
    <col min="9" max="9" width="10.33203125" customWidth="1"/>
    <col min="10" max="10" width="14.5" customWidth="1"/>
  </cols>
  <sheetData>
    <row r="1" spans="1:10" x14ac:dyDescent="0.2">
      <c r="A1" t="s">
        <v>23</v>
      </c>
      <c r="B1" t="s">
        <v>22</v>
      </c>
      <c r="C1" t="s">
        <v>25</v>
      </c>
      <c r="D1" t="s">
        <v>26</v>
      </c>
      <c r="F1" t="s">
        <v>23</v>
      </c>
      <c r="I1" t="s">
        <v>27</v>
      </c>
    </row>
    <row r="2" spans="1:10" x14ac:dyDescent="0.2">
      <c r="A2" t="s">
        <v>24</v>
      </c>
      <c r="B2" t="s">
        <v>21</v>
      </c>
      <c r="C2" t="s">
        <v>21</v>
      </c>
      <c r="D2" t="s">
        <v>21</v>
      </c>
      <c r="F2" t="s">
        <v>24</v>
      </c>
      <c r="G2" t="s">
        <v>31</v>
      </c>
      <c r="I2" t="s">
        <v>24</v>
      </c>
      <c r="J2" t="s">
        <v>32</v>
      </c>
    </row>
    <row r="3" spans="1:10" x14ac:dyDescent="0.2">
      <c r="A3" t="s">
        <v>0</v>
      </c>
      <c r="B3">
        <f>100.776893640284</f>
        <v>100.776893640284</v>
      </c>
      <c r="C3">
        <v>103.66712728942262</v>
      </c>
      <c r="D3">
        <v>114.43566409159816</v>
      </c>
      <c r="F3">
        <v>0</v>
      </c>
      <c r="G3" s="1">
        <f>B3</f>
        <v>100.776893640284</v>
      </c>
      <c r="I3">
        <v>0</v>
      </c>
      <c r="J3" cm="1">
        <f t="array" ref="J3">INDEX(B$27:D$29,INT((ROW()-ROW(J$3))/3)+1,MOD(ROW()-ROW(J$3),3)+1)</f>
        <v>102.95306185887473</v>
      </c>
    </row>
    <row r="4" spans="1:10" x14ac:dyDescent="0.2">
      <c r="A4" t="s">
        <v>1</v>
      </c>
      <c r="B4">
        <f>98.9436919152038</f>
        <v>98.9436919152038</v>
      </c>
      <c r="C4">
        <v>98.215724490576733</v>
      </c>
      <c r="D4">
        <v>97.16099995311744</v>
      </c>
      <c r="F4">
        <v>0</v>
      </c>
      <c r="G4">
        <f>B4</f>
        <v>98.9436919152038</v>
      </c>
      <c r="I4">
        <v>0</v>
      </c>
      <c r="J4" cm="1">
        <f t="array" ref="J4">INDEX(B$27:D$29,INT((ROW()-ROW(J$3))/3)+1,MOD(ROW()-ROW(J$3),3)+1)</f>
        <v>105.86152635719908</v>
      </c>
    </row>
    <row r="5" spans="1:10" x14ac:dyDescent="0.2">
      <c r="A5" t="s">
        <v>2</v>
      </c>
      <c r="B5">
        <v>100.27941444451194</v>
      </c>
      <c r="C5">
        <v>98.117148220000644</v>
      </c>
      <c r="D5">
        <v>88.403335955284462</v>
      </c>
      <c r="F5">
        <v>0</v>
      </c>
      <c r="G5">
        <f>B5</f>
        <v>100.27941444451194</v>
      </c>
      <c r="I5">
        <v>0</v>
      </c>
      <c r="J5" cm="1">
        <f t="array" ref="J5">INDEX(B$27:D$29,INT((ROW()-ROW(J$3))/3)+1,MOD(ROW()-ROW(J$3),3)+1)</f>
        <v>105.68341944574917</v>
      </c>
    </row>
    <row r="6" spans="1:10" x14ac:dyDescent="0.2">
      <c r="A6" t="s">
        <v>3</v>
      </c>
      <c r="B6">
        <v>76.302010569155073</v>
      </c>
      <c r="C6">
        <v>99.653857753091188</v>
      </c>
      <c r="D6">
        <v>105.93272872182489</v>
      </c>
      <c r="F6">
        <v>0</v>
      </c>
      <c r="G6">
        <f>C3</f>
        <v>103.66712728942262</v>
      </c>
      <c r="I6">
        <v>0</v>
      </c>
      <c r="J6" cm="1">
        <f t="array" ref="J6">INDEX(B$27:D$29,INT((ROW()-ROW(J$3))/3)+1,MOD(ROW()-ROW(J$3),3)+1)</f>
        <v>98.943114703139571</v>
      </c>
    </row>
    <row r="7" spans="1:10" x14ac:dyDescent="0.2">
      <c r="A7" t="s">
        <v>4</v>
      </c>
      <c r="B7">
        <v>90.260584340642652</v>
      </c>
      <c r="C7">
        <v>93.40169155079829</v>
      </c>
      <c r="D7">
        <v>84.116706343211675</v>
      </c>
      <c r="F7">
        <v>0</v>
      </c>
      <c r="G7">
        <f>C4</f>
        <v>98.215724490576733</v>
      </c>
      <c r="I7">
        <v>0</v>
      </c>
      <c r="J7" cm="1">
        <f t="array" ref="J7">INDEX(B$27:D$29,INT((ROW()-ROW(J$3))/3)+1,MOD(ROW()-ROW(J$3),3)+1)</f>
        <v>101.88827694728562</v>
      </c>
    </row>
    <row r="8" spans="1:10" x14ac:dyDescent="0.2">
      <c r="A8" t="s">
        <v>5</v>
      </c>
      <c r="B8">
        <v>86.792808115167347</v>
      </c>
      <c r="C8">
        <v>98.765320958035318</v>
      </c>
      <c r="D8">
        <v>75.598143450244578</v>
      </c>
      <c r="F8">
        <v>0</v>
      </c>
      <c r="G8">
        <f>C5</f>
        <v>98.117148220000644</v>
      </c>
      <c r="I8">
        <v>0</v>
      </c>
      <c r="J8" cm="1">
        <f t="array" ref="J8">INDEX(B$27:D$29,INT((ROW()-ROW(J$3))/3)+1,MOD(ROW()-ROW(J$3),3)+1)</f>
        <v>92.659196135006354</v>
      </c>
    </row>
    <row r="9" spans="1:10" x14ac:dyDescent="0.2">
      <c r="A9" t="s">
        <v>6</v>
      </c>
      <c r="B9">
        <v>58.589564477920185</v>
      </c>
      <c r="C9">
        <v>98.912510183964017</v>
      </c>
      <c r="D9">
        <v>101.6273460819195</v>
      </c>
      <c r="F9">
        <v>0</v>
      </c>
      <c r="G9">
        <f>D3</f>
        <v>114.43566409159816</v>
      </c>
      <c r="I9">
        <v>0</v>
      </c>
      <c r="J9" cm="1">
        <f t="array" ref="J9">INDEX(B$27:D$29,INT((ROW()-ROW(J$3))/3)+1,MOD(ROW()-ROW(J$3),3)+1)</f>
        <v>98.10382343798571</v>
      </c>
    </row>
    <row r="10" spans="1:10" x14ac:dyDescent="0.2">
      <c r="A10" t="s">
        <v>7</v>
      </c>
      <c r="B10">
        <v>90.215027637733101</v>
      </c>
      <c r="C10">
        <v>91.585457524430254</v>
      </c>
      <c r="D10">
        <v>91.467893253598248</v>
      </c>
      <c r="F10">
        <v>0</v>
      </c>
      <c r="G10">
        <f>D4</f>
        <v>97.16099995311744</v>
      </c>
      <c r="I10">
        <v>0</v>
      </c>
      <c r="J10" cm="1">
        <f t="array" ref="J10">INDEX(B$27:D$29,INT((ROW()-ROW(J$3))/3)+1,MOD(ROW()-ROW(J$3),3)+1)</f>
        <v>92.250196695515356</v>
      </c>
    </row>
    <row r="11" spans="1:10" x14ac:dyDescent="0.2">
      <c r="A11" t="s">
        <v>8</v>
      </c>
      <c r="B11">
        <v>92.090141529490381</v>
      </c>
      <c r="C11">
        <v>91.797464024162451</v>
      </c>
      <c r="D11">
        <v>80.575509587485499</v>
      </c>
      <c r="F11">
        <v>0</v>
      </c>
      <c r="G11">
        <f>D5</f>
        <v>88.403335955284462</v>
      </c>
      <c r="I11">
        <v>0</v>
      </c>
      <c r="J11" cm="1">
        <f t="array" ref="J11">INDEX(B$27:D$29,INT((ROW()-ROW(J$3))/3)+1,MOD(ROW()-ROW(J$3),3)+1)</f>
        <v>101.65738441924444</v>
      </c>
    </row>
    <row r="12" spans="1:10" x14ac:dyDescent="0.2">
      <c r="A12" t="s">
        <v>9</v>
      </c>
      <c r="B12">
        <v>40.286703516977468</v>
      </c>
      <c r="C12">
        <v>67.750255443075574</v>
      </c>
      <c r="D12">
        <v>84.566779011194541</v>
      </c>
      <c r="F12">
        <v>1</v>
      </c>
      <c r="G12" cm="1">
        <f t="array" ref="G12">INDEX(B$6:D$8,INT((ROW()-ROW(G$12))/3)+1,MOD(ROW()-ROW(G$12),3)+1)</f>
        <v>76.302010569155073</v>
      </c>
      <c r="I12">
        <v>1</v>
      </c>
      <c r="J12" cm="1">
        <f t="array" ref="J12">INDEX(B$30:D$32,INT((ROW()-ROW(J$12))/3)+1,MOD(ROW()-ROW(J$12),3)+1)</f>
        <v>81.061548026111282</v>
      </c>
    </row>
    <row r="13" spans="1:10" x14ac:dyDescent="0.2">
      <c r="A13" t="s">
        <v>10</v>
      </c>
      <c r="B13">
        <v>48.257304258033166</v>
      </c>
      <c r="C13">
        <v>60.455611420443546</v>
      </c>
      <c r="D13">
        <v>78.693955794946078</v>
      </c>
      <c r="F13">
        <v>1</v>
      </c>
      <c r="G13" cm="1">
        <f t="array" ref="G13">INDEX(B$6:D$8,INT((ROW()-ROW(G$12))/3)+1,MOD(ROW()-ROW(G$12),3)+1)</f>
        <v>99.653857753091188</v>
      </c>
      <c r="I13">
        <v>1</v>
      </c>
      <c r="J13" cm="1">
        <f t="array" ref="J13">INDEX(B$30:D$32,INT((ROW()-ROW(J$12))/3)+1,MOD(ROW()-ROW(J$12),3)+1)</f>
        <v>89.221085759244716</v>
      </c>
    </row>
    <row r="14" spans="1:10" x14ac:dyDescent="0.2">
      <c r="A14" t="s">
        <v>11</v>
      </c>
      <c r="B14">
        <v>49.0208345987973</v>
      </c>
      <c r="C14">
        <v>83.795231429175871</v>
      </c>
      <c r="D14">
        <v>73.955690762571052</v>
      </c>
      <c r="F14">
        <v>1</v>
      </c>
      <c r="G14" cm="1">
        <f t="array" ref="G14">INDEX(B$6:D$8,INT((ROW()-ROW(G$12))/3)+1,MOD(ROW()-ROW(G$12),3)+1)</f>
        <v>105.93272872182489</v>
      </c>
      <c r="I14">
        <v>1</v>
      </c>
      <c r="J14" cm="1">
        <f t="array" ref="J14">INDEX(B$30:D$32,INT((ROW()-ROW(J$12))/3)+1,MOD(ROW()-ROW(J$12),3)+1)</f>
        <v>94.631953297993689</v>
      </c>
    </row>
    <row r="15" spans="1:10" x14ac:dyDescent="0.2">
      <c r="A15" t="s">
        <v>12</v>
      </c>
      <c r="B15">
        <v>1.1243394278078114</v>
      </c>
      <c r="C15">
        <v>3.130134180759172</v>
      </c>
      <c r="D15">
        <v>3.6333991425698944</v>
      </c>
      <c r="F15">
        <v>1</v>
      </c>
      <c r="G15" cm="1">
        <f t="array" ref="G15">INDEX(B$6:D$8,INT((ROW()-ROW(G$12))/3)+1,MOD(ROW()-ROW(G$12),3)+1)</f>
        <v>90.260584340642652</v>
      </c>
      <c r="I15">
        <v>1</v>
      </c>
      <c r="J15" cm="1">
        <f t="array" ref="J15">INDEX(B$30:D$32,INT((ROW()-ROW(J$12))/3)+1,MOD(ROW()-ROW(J$12),3)+1)</f>
        <v>99.059682934410944</v>
      </c>
    </row>
    <row r="16" spans="1:10" x14ac:dyDescent="0.2">
      <c r="A16" t="s">
        <v>13</v>
      </c>
      <c r="B16">
        <v>1.4104355220798153</v>
      </c>
      <c r="C16">
        <v>2.8938212033506931</v>
      </c>
      <c r="D16">
        <v>5.6415358729794924</v>
      </c>
      <c r="F16">
        <v>1</v>
      </c>
      <c r="G16" cm="1">
        <f t="array" ref="G16">INDEX(B$6:D$8,INT((ROW()-ROW(G$12))/3)+1,MOD(ROW()-ROW(G$12),3)+1)</f>
        <v>93.40169155079829</v>
      </c>
      <c r="I16">
        <v>1</v>
      </c>
      <c r="J16" cm="1">
        <f t="array" ref="J16">INDEX(B$30:D$32,INT((ROW()-ROW(J$12))/3)+1,MOD(ROW()-ROW(J$12),3)+1)</f>
        <v>80.72383949645949</v>
      </c>
    </row>
    <row r="17" spans="1:10" x14ac:dyDescent="0.2">
      <c r="A17" t="s">
        <v>14</v>
      </c>
      <c r="B17">
        <v>1.0878940654801676</v>
      </c>
      <c r="C17">
        <v>2.2442981054451012</v>
      </c>
      <c r="D17">
        <v>5.743114773739511</v>
      </c>
      <c r="F17">
        <v>1</v>
      </c>
      <c r="G17" cm="1">
        <f t="array" ref="G17">INDEX(B$6:D$8,INT((ROW()-ROW(G$12))/3)+1,MOD(ROW()-ROW(G$12),3)+1)</f>
        <v>84.116706343211675</v>
      </c>
      <c r="I17">
        <v>1</v>
      </c>
      <c r="J17" cm="1">
        <f t="array" ref="J17">INDEX(B$30:D$32,INT((ROW()-ROW(J$12))/3)+1,MOD(ROW()-ROW(J$12),3)+1)</f>
        <v>82.694759444407154</v>
      </c>
    </row>
    <row r="18" spans="1:10" x14ac:dyDescent="0.2">
      <c r="A18" t="s">
        <v>15</v>
      </c>
      <c r="B18">
        <v>9.1113405819109507E-3</v>
      </c>
      <c r="C18">
        <v>2.7007197418111924E-2</v>
      </c>
      <c r="D18">
        <v>2.8129541748928216E-2</v>
      </c>
      <c r="F18">
        <v>1</v>
      </c>
      <c r="G18" cm="1">
        <f t="array" ref="G18">INDEX(B$6:D$8,INT((ROW()-ROW(G$12))/3)+1,MOD(ROW()-ROW(G$12),3)+1)</f>
        <v>86.792808115167347</v>
      </c>
      <c r="I18">
        <v>1</v>
      </c>
      <c r="J18" cm="1">
        <f t="array" ref="J18">INDEX(B$30:D$32,INT((ROW()-ROW(J$12))/3)+1,MOD(ROW()-ROW(J$12),3)+1)</f>
        <v>93.347839602113751</v>
      </c>
    </row>
    <row r="19" spans="1:10" x14ac:dyDescent="0.2">
      <c r="A19" t="s">
        <v>16</v>
      </c>
      <c r="B19">
        <v>1.4578144931057522E-2</v>
      </c>
      <c r="C19">
        <v>4.0510796127167889E-2</v>
      </c>
      <c r="D19">
        <v>2.3441284790773516E-2</v>
      </c>
      <c r="F19">
        <v>1</v>
      </c>
      <c r="G19" cm="1">
        <f t="array" ref="G19">INDEX(B$6:D$8,INT((ROW()-ROW(G$12))/3)+1,MOD(ROW()-ROW(G$12),3)+1)</f>
        <v>98.765320958035318</v>
      </c>
      <c r="I19">
        <v>1</v>
      </c>
      <c r="J19" cm="1">
        <f t="array" ref="J19">INDEX(B$30:D$32,INT((ROW()-ROW(J$12))/3)+1,MOD(ROW()-ROW(J$12),3)+1)</f>
        <v>92.820613690007889</v>
      </c>
    </row>
    <row r="20" spans="1:10" x14ac:dyDescent="0.2">
      <c r="A20" t="s">
        <v>17</v>
      </c>
      <c r="B20">
        <v>2.1867217396586286E-2</v>
      </c>
      <c r="C20">
        <v>3.1058277030828717E-2</v>
      </c>
      <c r="D20">
        <v>2.3441284790773516E-2</v>
      </c>
      <c r="F20">
        <v>1</v>
      </c>
      <c r="G20" cm="1">
        <f t="array" ref="G20">INDEX(B$6:D$8,INT((ROW()-ROW(G$12))/3)+1,MOD(ROW()-ROW(G$12),3)+1)</f>
        <v>75.598143450244578</v>
      </c>
      <c r="I20">
        <v>1</v>
      </c>
      <c r="J20" cm="1">
        <f t="array" ref="J20">INDEX(B$30:D$32,INT((ROW()-ROW(J$12))/3)+1,MOD(ROW()-ROW(J$12),3)+1)</f>
        <v>95.034556800644154</v>
      </c>
    </row>
    <row r="21" spans="1:10" x14ac:dyDescent="0.2">
      <c r="A21" t="s">
        <v>18</v>
      </c>
      <c r="B21">
        <v>1.2755876814675335E-2</v>
      </c>
      <c r="C21">
        <v>1.7554678321772751E-2</v>
      </c>
      <c r="D21">
        <v>1.2502018555079208E-2</v>
      </c>
      <c r="F21">
        <v>5</v>
      </c>
      <c r="G21" cm="1">
        <f t="array" ref="G21">INDEX(B$9:D$11,INT((ROW()-ROW(G$21))/3)+1,MOD(ROW()-ROW(G$21),3)+1)</f>
        <v>58.589564477920185</v>
      </c>
      <c r="I21">
        <v>5</v>
      </c>
      <c r="J21" cm="1">
        <f t="array" ref="J21">INDEX(B$33:D$35,INT((ROW()-ROW(J$21))/3)+1,MOD(ROW()-ROW(J$21),3)+1)</f>
        <v>67.842710599937831</v>
      </c>
    </row>
    <row r="22" spans="1:10" x14ac:dyDescent="0.2">
      <c r="A22" t="s">
        <v>19</v>
      </c>
      <c r="B22">
        <v>3.6445362327643806E-3</v>
      </c>
      <c r="C22">
        <v>2.2956117805395138E-2</v>
      </c>
      <c r="D22">
        <v>1.4064770874464108E-2</v>
      </c>
      <c r="F22">
        <v>5</v>
      </c>
      <c r="G22" cm="1">
        <f t="array" ref="G22">INDEX(B$9:D$11,INT((ROW()-ROW(G$21))/3)+1,MOD(ROW()-ROW(G$21),3)+1)</f>
        <v>98.912510183964017</v>
      </c>
      <c r="I22">
        <v>5</v>
      </c>
      <c r="J22" cm="1">
        <f t="array" ref="J22">INDEX(B$33:D$35,INT((ROW()-ROW(J$21))/3)+1,MOD(ROW()-ROW(J$21),3)+1)</f>
        <v>62.726199842643602</v>
      </c>
    </row>
    <row r="23" spans="1:10" x14ac:dyDescent="0.2">
      <c r="A23" t="s">
        <v>20</v>
      </c>
      <c r="B23">
        <v>7.2890724655287611E-3</v>
      </c>
      <c r="C23">
        <v>2.2956117805395138E-2</v>
      </c>
      <c r="D23">
        <v>6.2510092775396042E-3</v>
      </c>
      <c r="F23">
        <v>5</v>
      </c>
      <c r="G23" cm="1">
        <f t="array" ref="G23">INDEX(B$9:D$11,INT((ROW()-ROW(G$21))/3)+1,MOD(ROW()-ROW(G$21),3)+1)</f>
        <v>101.6273460819195</v>
      </c>
      <c r="I23">
        <v>5</v>
      </c>
      <c r="J23" cm="1">
        <f t="array" ref="J23">INDEX(B$33:D$35,INT((ROW()-ROW(J$21))/3)+1,MOD(ROW()-ROW(J$21),3)+1)</f>
        <v>62.282761860028167</v>
      </c>
    </row>
    <row r="24" spans="1:10" x14ac:dyDescent="0.2">
      <c r="F24">
        <v>5</v>
      </c>
      <c r="G24" cm="1">
        <f t="array" ref="G24">INDEX(B$9:D$11,INT((ROW()-ROW(G$21))/3)+1,MOD(ROW()-ROW(G$21),3)+1)</f>
        <v>90.215027637733101</v>
      </c>
      <c r="I24">
        <v>5</v>
      </c>
      <c r="J24" cm="1">
        <f t="array" ref="J24">INDEX(B$33:D$35,INT((ROW()-ROW(J$21))/3)+1,MOD(ROW()-ROW(J$21),3)+1)</f>
        <v>76.562014299036377</v>
      </c>
    </row>
    <row r="25" spans="1:10" x14ac:dyDescent="0.2">
      <c r="A25" t="s">
        <v>27</v>
      </c>
      <c r="B25" t="s">
        <v>22</v>
      </c>
      <c r="C25" t="s">
        <v>25</v>
      </c>
      <c r="D25" t="s">
        <v>26</v>
      </c>
      <c r="F25">
        <v>5</v>
      </c>
      <c r="G25" cm="1">
        <f t="array" ref="G25">INDEX(B$9:D$11,INT((ROW()-ROW(G$21))/3)+1,MOD(ROW()-ROW(G$21),3)+1)</f>
        <v>91.585457524430254</v>
      </c>
      <c r="I25">
        <v>5</v>
      </c>
      <c r="J25" cm="1">
        <f t="array" ref="J25">INDEX(B$33:D$35,INT((ROW()-ROW(J$21))/3)+1,MOD(ROW()-ROW(J$21),3)+1)</f>
        <v>73.682140047206943</v>
      </c>
    </row>
    <row r="26" spans="1:10" x14ac:dyDescent="0.2">
      <c r="A26" t="s">
        <v>24</v>
      </c>
      <c r="B26" t="s">
        <v>21</v>
      </c>
      <c r="C26" t="s">
        <v>21</v>
      </c>
      <c r="D26" t="s">
        <v>21</v>
      </c>
      <c r="F26">
        <v>5</v>
      </c>
      <c r="G26" cm="1">
        <f t="array" ref="G26">INDEX(B$9:D$11,INT((ROW()-ROW(G$21))/3)+1,MOD(ROW()-ROW(G$21),3)+1)</f>
        <v>91.467893253598248</v>
      </c>
      <c r="I26">
        <v>5</v>
      </c>
      <c r="J26" cm="1">
        <f t="array" ref="J26">INDEX(B$33:D$35,INT((ROW()-ROW(J$21))/3)+1,MOD(ROW()-ROW(J$21),3)+1)</f>
        <v>60.813259075353955</v>
      </c>
    </row>
    <row r="27" spans="1:10" x14ac:dyDescent="0.2">
      <c r="A27" t="s">
        <v>28</v>
      </c>
      <c r="B27">
        <v>102.95306185887473</v>
      </c>
      <c r="C27">
        <v>105.86152635719908</v>
      </c>
      <c r="D27">
        <v>105.68341944574917</v>
      </c>
      <c r="F27">
        <v>5</v>
      </c>
      <c r="G27" cm="1">
        <f t="array" ref="G27">INDEX(B$9:D$11,INT((ROW()-ROW(G$21))/3)+1,MOD(ROW()-ROW(G$21),3)+1)</f>
        <v>92.090141529490381</v>
      </c>
      <c r="I27">
        <v>5</v>
      </c>
      <c r="J27" cm="1">
        <f t="array" ref="J27">INDEX(B$33:D$35,INT((ROW()-ROW(J$21))/3)+1,MOD(ROW()-ROW(J$21),3)+1)</f>
        <v>56.465651227852042</v>
      </c>
    </row>
    <row r="28" spans="1:10" x14ac:dyDescent="0.2">
      <c r="A28" t="s">
        <v>29</v>
      </c>
      <c r="B28">
        <v>98.943114703139571</v>
      </c>
      <c r="C28">
        <v>101.88827694728562</v>
      </c>
      <c r="D28">
        <v>92.659196135006354</v>
      </c>
      <c r="F28">
        <v>5</v>
      </c>
      <c r="G28" cm="1">
        <f t="array" ref="G28">INDEX(B$9:D$11,INT((ROW()-ROW(G$21))/3)+1,MOD(ROW()-ROW(G$21),3)+1)</f>
        <v>91.797464024162451</v>
      </c>
      <c r="I28">
        <v>5</v>
      </c>
      <c r="J28" cm="1">
        <f t="array" ref="J28">INDEX(B$33:D$35,INT((ROW()-ROW(J$21))/3)+1,MOD(ROW()-ROW(J$21),3)+1)</f>
        <v>69.453186467348559</v>
      </c>
    </row>
    <row r="29" spans="1:10" x14ac:dyDescent="0.2">
      <c r="A29" t="s">
        <v>30</v>
      </c>
      <c r="B29">
        <v>98.10382343798571</v>
      </c>
      <c r="C29">
        <v>92.250196695515356</v>
      </c>
      <c r="D29">
        <v>101.65738441924444</v>
      </c>
      <c r="F29">
        <v>5</v>
      </c>
      <c r="G29" cm="1">
        <f t="array" ref="G29">INDEX(B$9:D$11,INT((ROW()-ROW(G$21))/3)+1,MOD(ROW()-ROW(G$21),3)+1)</f>
        <v>80.575509587485499</v>
      </c>
      <c r="I29">
        <v>5</v>
      </c>
      <c r="J29" cm="1">
        <f t="array" ref="J29">INDEX(B$33:D$35,INT((ROW()-ROW(J$21))/3)+1,MOD(ROW()-ROW(J$21),3)+1)</f>
        <v>56.324230020801181</v>
      </c>
    </row>
    <row r="30" spans="1:10" x14ac:dyDescent="0.2">
      <c r="A30" t="s">
        <v>3</v>
      </c>
      <c r="B30">
        <v>81.061548026111282</v>
      </c>
      <c r="C30">
        <v>89.221085759244716</v>
      </c>
      <c r="D30">
        <v>94.631953297993689</v>
      </c>
      <c r="F30">
        <v>25</v>
      </c>
      <c r="G30" cm="1">
        <f t="array" ref="G30">INDEX(B$12:D$14,INT((ROW()-ROW(G$30))/3)+1,MOD(ROW()-ROW(G$30),3)+1)</f>
        <v>40.286703516977468</v>
      </c>
      <c r="I30">
        <v>25</v>
      </c>
      <c r="J30" cm="1">
        <f t="array" ref="J30">INDEX(B$36:D$38,INT((ROW()-ROW(J$30))/3)+1,MOD(ROW()-ROW(J$30),3)+1)</f>
        <v>16.03978862294063</v>
      </c>
    </row>
    <row r="31" spans="1:10" x14ac:dyDescent="0.2">
      <c r="A31" t="s">
        <v>4</v>
      </c>
      <c r="B31">
        <v>99.059682934410944</v>
      </c>
      <c r="C31">
        <v>80.72383949645949</v>
      </c>
      <c r="D31">
        <v>82.694759444407154</v>
      </c>
      <c r="F31">
        <v>25</v>
      </c>
      <c r="G31" cm="1">
        <f t="array" ref="G31">INDEX(B$12:D$14,INT((ROW()-ROW(G$30))/3)+1,MOD(ROW()-ROW(G$30),3)+1)</f>
        <v>67.750255443075574</v>
      </c>
      <c r="I31">
        <v>25</v>
      </c>
      <c r="J31" cm="1">
        <f t="array" ref="J31">INDEX(B$36:D$38,INT((ROW()-ROW(J$30))/3)+1,MOD(ROW()-ROW(J$30),3)+1)</f>
        <v>8.9299763965381604</v>
      </c>
    </row>
    <row r="32" spans="1:10" x14ac:dyDescent="0.2">
      <c r="A32" t="s">
        <v>5</v>
      </c>
      <c r="B32">
        <v>93.347839602113751</v>
      </c>
      <c r="C32">
        <v>92.820613690007889</v>
      </c>
      <c r="D32">
        <v>95.034556800644154</v>
      </c>
      <c r="F32">
        <v>25</v>
      </c>
      <c r="G32" cm="1">
        <f t="array" ref="G32">INDEX(B$12:D$14,INT((ROW()-ROW(G$30))/3)+1,MOD(ROW()-ROW(G$30),3)+1)</f>
        <v>84.566779011194541</v>
      </c>
      <c r="I32">
        <v>25</v>
      </c>
      <c r="J32" cm="1">
        <f t="array" ref="J32">INDEX(B$36:D$38,INT((ROW()-ROW(J$30))/3)+1,MOD(ROW()-ROW(J$30),3)+1)</f>
        <v>18.539891297054282</v>
      </c>
    </row>
    <row r="33" spans="1:10" x14ac:dyDescent="0.2">
      <c r="A33" t="s">
        <v>6</v>
      </c>
      <c r="B33">
        <v>67.842710599937831</v>
      </c>
      <c r="C33">
        <v>62.726199842643602</v>
      </c>
      <c r="D33">
        <v>62.282761860028167</v>
      </c>
      <c r="F33">
        <v>25</v>
      </c>
      <c r="G33" cm="1">
        <f t="array" ref="G33">INDEX(B$12:D$14,INT((ROW()-ROW(G$30))/3)+1,MOD(ROW()-ROW(G$30),3)+1)</f>
        <v>48.257304258033166</v>
      </c>
      <c r="I33">
        <v>25</v>
      </c>
      <c r="J33" cm="1">
        <f t="array" ref="J33">INDEX(B$36:D$38,INT((ROW()-ROW(J$30))/3)+1,MOD(ROW()-ROW(J$30),3)+1)</f>
        <v>16.156356854212</v>
      </c>
    </row>
    <row r="34" spans="1:10" x14ac:dyDescent="0.2">
      <c r="A34" t="s">
        <v>7</v>
      </c>
      <c r="B34">
        <v>76.562014299036377</v>
      </c>
      <c r="C34">
        <v>73.682140047206943</v>
      </c>
      <c r="D34">
        <v>60.813259075353955</v>
      </c>
      <c r="F34">
        <v>25</v>
      </c>
      <c r="G34" cm="1">
        <f t="array" ref="G34">INDEX(B$12:D$14,INT((ROW()-ROW(G$30))/3)+1,MOD(ROW()-ROW(G$30),3)+1)</f>
        <v>60.455611420443546</v>
      </c>
      <c r="I34">
        <v>25</v>
      </c>
      <c r="J34" cm="1">
        <f t="array" ref="J34">INDEX(B$36:D$38,INT((ROW()-ROW(J$30))/3)+1,MOD(ROW()-ROW(J$30),3)+1)</f>
        <v>11.723052714398115</v>
      </c>
    </row>
    <row r="35" spans="1:10" x14ac:dyDescent="0.2">
      <c r="A35" t="s">
        <v>8</v>
      </c>
      <c r="B35">
        <v>56.465651227852042</v>
      </c>
      <c r="C35">
        <v>69.453186467348559</v>
      </c>
      <c r="D35">
        <v>56.324230020801181</v>
      </c>
      <c r="F35">
        <v>25</v>
      </c>
      <c r="G35" cm="1">
        <f t="array" ref="G35">INDEX(B$12:D$14,INT((ROW()-ROW(G$30))/3)+1,MOD(ROW()-ROW(G$30),3)+1)</f>
        <v>78.693955794946078</v>
      </c>
      <c r="I35">
        <v>25</v>
      </c>
      <c r="J35" cm="1">
        <f t="array" ref="J35">INDEX(B$36:D$38,INT((ROW()-ROW(J$30))/3)+1,MOD(ROW()-ROW(J$30),3)+1)</f>
        <v>6.683218143997852</v>
      </c>
    </row>
    <row r="36" spans="1:10" x14ac:dyDescent="0.2">
      <c r="A36" t="s">
        <v>9</v>
      </c>
      <c r="B36">
        <v>16.03978862294063</v>
      </c>
      <c r="C36">
        <v>8.9299763965381604</v>
      </c>
      <c r="D36">
        <v>18.539891297054282</v>
      </c>
      <c r="F36">
        <v>25</v>
      </c>
      <c r="G36" cm="1">
        <f t="array" ref="G36">INDEX(B$12:D$14,INT((ROW()-ROW(G$30))/3)+1,MOD(ROW()-ROW(G$30),3)+1)</f>
        <v>49.0208345987973</v>
      </c>
      <c r="I36">
        <v>25</v>
      </c>
      <c r="J36" cm="1">
        <f t="array" ref="J36">INDEX(B$36:D$38,INT((ROW()-ROW(J$30))/3)+1,MOD(ROW()-ROW(J$30),3)+1)</f>
        <v>12.58936897730805</v>
      </c>
    </row>
    <row r="37" spans="1:10" x14ac:dyDescent="0.2">
      <c r="A37" t="s">
        <v>10</v>
      </c>
      <c r="B37">
        <v>16.156356854212</v>
      </c>
      <c r="C37">
        <v>11.723052714398115</v>
      </c>
      <c r="D37">
        <v>6.683218143997852</v>
      </c>
      <c r="F37">
        <v>25</v>
      </c>
      <c r="G37" cm="1">
        <f t="array" ref="G37">INDEX(B$12:D$14,INT((ROW()-ROW(G$30))/3)+1,MOD(ROW()-ROW(G$30),3)+1)</f>
        <v>83.795231429175871</v>
      </c>
      <c r="I37">
        <v>25</v>
      </c>
      <c r="J37" cm="1">
        <f t="array" ref="J37">INDEX(B$36:D$38,INT((ROW()-ROW(J$30))/3)+1,MOD(ROW()-ROW(J$30),3)+1)</f>
        <v>11.46734854445319</v>
      </c>
    </row>
    <row r="38" spans="1:10" x14ac:dyDescent="0.2">
      <c r="A38" t="s">
        <v>11</v>
      </c>
      <c r="B38">
        <v>12.58936897730805</v>
      </c>
      <c r="C38">
        <v>11.46734854445319</v>
      </c>
      <c r="D38">
        <v>10.065087566261825</v>
      </c>
      <c r="F38">
        <v>25</v>
      </c>
      <c r="G38" cm="1">
        <f t="array" ref="G38">INDEX(B$12:D$14,INT((ROW()-ROW(G$30))/3)+1,MOD(ROW()-ROW(G$30),3)+1)</f>
        <v>73.955690762571052</v>
      </c>
      <c r="I38">
        <v>25</v>
      </c>
      <c r="J38" cm="1">
        <f t="array" ref="J38">INDEX(B$36:D$38,INT((ROW()-ROW(J$30))/3)+1,MOD(ROW()-ROW(J$30),3)+1)</f>
        <v>10.065087566261825</v>
      </c>
    </row>
    <row r="39" spans="1:10" x14ac:dyDescent="0.2">
      <c r="A39" t="s">
        <v>12</v>
      </c>
      <c r="B39">
        <v>0.34970469381411251</v>
      </c>
      <c r="C39">
        <v>0.17702596380802521</v>
      </c>
      <c r="D39">
        <v>0.24156210159028382</v>
      </c>
      <c r="F39">
        <v>125</v>
      </c>
      <c r="G39" cm="1">
        <f t="array" ref="G39">INDEX(B$15:D$17,INT((ROW()-ROW(G$39))/3)+1,MOD(ROW()-ROW(G$39),3)+1)</f>
        <v>1.1243394278078114</v>
      </c>
      <c r="I39">
        <v>125</v>
      </c>
      <c r="J39" cm="1">
        <f t="array" ref="J39">INDEX(B$39:D$41,INT((ROW()-ROW(J$39))/3)+1,MOD(ROW()-ROW(J$39),3)+1)</f>
        <v>0.34970469381411251</v>
      </c>
    </row>
    <row r="40" spans="1:10" x14ac:dyDescent="0.2">
      <c r="A40" t="s">
        <v>13</v>
      </c>
      <c r="B40">
        <v>0.25645010879701585</v>
      </c>
      <c r="C40">
        <v>0.11801730920535014</v>
      </c>
      <c r="D40">
        <v>0.20130175132523648</v>
      </c>
      <c r="F40">
        <v>125</v>
      </c>
      <c r="G40" cm="1">
        <f t="array" ref="G40">INDEX(B$15:D$17,INT((ROW()-ROW(G$39))/3)+1,MOD(ROW()-ROW(G$39),3)+1)</f>
        <v>3.130134180759172</v>
      </c>
      <c r="I40">
        <v>125</v>
      </c>
      <c r="J40" cm="1">
        <f t="array" ref="J40">INDEX(B$39:D$41,INT((ROW()-ROW(J$39))/3)+1,MOD(ROW()-ROW(J$39),3)+1)</f>
        <v>0.17702596380802521</v>
      </c>
    </row>
    <row r="41" spans="1:10" x14ac:dyDescent="0.2">
      <c r="A41" t="s">
        <v>14</v>
      </c>
      <c r="B41">
        <v>0.34970469381411251</v>
      </c>
      <c r="C41">
        <v>0.25570416994492534</v>
      </c>
      <c r="D41">
        <v>0.28182245185533111</v>
      </c>
      <c r="F41">
        <v>125</v>
      </c>
      <c r="G41" cm="1">
        <f t="array" ref="G41">INDEX(B$15:D$17,INT((ROW()-ROW(G$39))/3)+1,MOD(ROW()-ROW(G$39),3)+1)</f>
        <v>3.6333991425698944</v>
      </c>
      <c r="I41">
        <v>125</v>
      </c>
      <c r="J41" cm="1">
        <f t="array" ref="J41">INDEX(B$39:D$41,INT((ROW()-ROW(J$39))/3)+1,MOD(ROW()-ROW(J$39),3)+1)</f>
        <v>0.24156210159028382</v>
      </c>
    </row>
    <row r="42" spans="1:10" x14ac:dyDescent="0.2">
      <c r="A42" t="s">
        <v>15</v>
      </c>
      <c r="B42">
        <v>6.9940938762822508E-2</v>
      </c>
      <c r="C42">
        <v>3.9339103068450051E-2</v>
      </c>
      <c r="D42">
        <v>8.0520700530094608E-2</v>
      </c>
      <c r="F42">
        <v>125</v>
      </c>
      <c r="G42" cm="1">
        <f t="array" ref="G42">INDEX(B$15:D$17,INT((ROW()-ROW(G$39))/3)+1,MOD(ROW()-ROW(G$39),3)+1)</f>
        <v>1.4104355220798153</v>
      </c>
      <c r="I42">
        <v>125</v>
      </c>
      <c r="J42" cm="1">
        <f t="array" ref="J42">INDEX(B$39:D$41,INT((ROW()-ROW(J$39))/3)+1,MOD(ROW()-ROW(J$39),3)+1)</f>
        <v>0.25645010879701585</v>
      </c>
    </row>
    <row r="43" spans="1:10" x14ac:dyDescent="0.2">
      <c r="A43" t="s">
        <v>16</v>
      </c>
      <c r="B43">
        <v>2.3313646254274168E-2</v>
      </c>
      <c r="C43">
        <v>5.900865460267507E-2</v>
      </c>
      <c r="D43">
        <v>0.12078105079514191</v>
      </c>
      <c r="F43">
        <v>125</v>
      </c>
      <c r="G43" cm="1">
        <f t="array" ref="G43">INDEX(B$15:D$17,INT((ROW()-ROW(G$39))/3)+1,MOD(ROW()-ROW(G$39),3)+1)</f>
        <v>2.8938212033506931</v>
      </c>
      <c r="I43">
        <v>125</v>
      </c>
      <c r="J43" cm="1">
        <f t="array" ref="J43">INDEX(B$39:D$41,INT((ROW()-ROW(J$39))/3)+1,MOD(ROW()-ROW(J$39),3)+1)</f>
        <v>0.11801730920535014</v>
      </c>
    </row>
    <row r="44" spans="1:10" x14ac:dyDescent="0.2">
      <c r="A44" t="s">
        <v>17</v>
      </c>
      <c r="B44">
        <v>9.3254585017096672E-2</v>
      </c>
      <c r="C44">
        <v>9.8347757671125122E-2</v>
      </c>
      <c r="D44">
        <v>0.22143192645776016</v>
      </c>
      <c r="F44">
        <v>125</v>
      </c>
      <c r="G44" cm="1">
        <f t="array" ref="G44">INDEX(B$15:D$17,INT((ROW()-ROW(G$39))/3)+1,MOD(ROW()-ROW(G$39),3)+1)</f>
        <v>5.6415358729794924</v>
      </c>
      <c r="I44">
        <v>125</v>
      </c>
      <c r="J44" cm="1">
        <f t="array" ref="J44">INDEX(B$39:D$41,INT((ROW()-ROW(J$39))/3)+1,MOD(ROW()-ROW(J$39),3)+1)</f>
        <v>0.20130175132523648</v>
      </c>
    </row>
    <row r="45" spans="1:10" x14ac:dyDescent="0.2">
      <c r="A45" t="s">
        <v>18</v>
      </c>
      <c r="B45">
        <v>6.9940938762822508E-2</v>
      </c>
      <c r="C45">
        <v>3.9339103068450051E-2</v>
      </c>
      <c r="D45">
        <v>0.12078105079514191</v>
      </c>
      <c r="F45">
        <v>125</v>
      </c>
      <c r="G45" cm="1">
        <f t="array" ref="G45">INDEX(B$15:D$17,INT((ROW()-ROW(G$39))/3)+1,MOD(ROW()-ROW(G$39),3)+1)</f>
        <v>1.0878940654801676</v>
      </c>
      <c r="I45">
        <v>125</v>
      </c>
      <c r="J45" cm="1">
        <f t="array" ref="J45">INDEX(B$39:D$41,INT((ROW()-ROW(J$39))/3)+1,MOD(ROW()-ROW(J$39),3)+1)</f>
        <v>0.34970469381411251</v>
      </c>
    </row>
    <row r="46" spans="1:10" x14ac:dyDescent="0.2">
      <c r="A46" t="s">
        <v>19</v>
      </c>
      <c r="B46">
        <v>4.6627292508548336E-2</v>
      </c>
      <c r="C46">
        <v>5.900865460267507E-2</v>
      </c>
      <c r="D46">
        <v>0.14091122592766556</v>
      </c>
      <c r="F46">
        <v>125</v>
      </c>
      <c r="G46" cm="1">
        <f t="array" ref="G46">INDEX(B$15:D$17,INT((ROW()-ROW(G$39))/3)+1,MOD(ROW()-ROW(G$39),3)+1)</f>
        <v>2.2442981054451012</v>
      </c>
      <c r="I46">
        <v>125</v>
      </c>
      <c r="J46" cm="1">
        <f t="array" ref="J46">INDEX(B$39:D$41,INT((ROW()-ROW(J$39))/3)+1,MOD(ROW()-ROW(J$39),3)+1)</f>
        <v>0.25570416994492534</v>
      </c>
    </row>
    <row r="47" spans="1:10" x14ac:dyDescent="0.2">
      <c r="A47" t="s">
        <v>20</v>
      </c>
      <c r="B47">
        <v>0.11656823127137084</v>
      </c>
      <c r="C47">
        <v>5.900865460267507E-2</v>
      </c>
      <c r="D47">
        <v>6.0390525397570956E-2</v>
      </c>
      <c r="F47">
        <v>125</v>
      </c>
      <c r="G47" cm="1">
        <f t="array" ref="G47">INDEX(B$15:D$17,INT((ROW()-ROW(G$39))/3)+1,MOD(ROW()-ROW(G$39),3)+1)</f>
        <v>5.743114773739511</v>
      </c>
      <c r="I47">
        <v>125</v>
      </c>
      <c r="J47" cm="1">
        <f t="array" ref="J47">INDEX(B$39:D$41,INT((ROW()-ROW(J$39))/3)+1,MOD(ROW()-ROW(J$39),3)+1)</f>
        <v>0.28182245185533111</v>
      </c>
    </row>
    <row r="48" spans="1:10" x14ac:dyDescent="0.2">
      <c r="F48">
        <v>625</v>
      </c>
      <c r="G48" cm="1">
        <f t="array" ref="G48">INDEX(B$18:D$20,INT((ROW()-ROW(G$48))/3)+1,MOD(ROW()-ROW(G$48),3)+1)</f>
        <v>9.1113405819109507E-3</v>
      </c>
      <c r="I48">
        <v>625</v>
      </c>
      <c r="J48" cm="1">
        <f t="array" ref="J48">INDEX(B$42:D$44,INT((ROW()-ROW(J$48))/3)+1,MOD(ROW()-ROW(J$48),3)+1)</f>
        <v>6.9940938762822508E-2</v>
      </c>
    </row>
    <row r="49" spans="6:10" x14ac:dyDescent="0.2">
      <c r="F49">
        <v>625</v>
      </c>
      <c r="G49" cm="1">
        <f t="array" ref="G49">INDEX(B$18:D$20,INT((ROW()-ROW(G$48))/3)+1,MOD(ROW()-ROW(G$48),3)+1)</f>
        <v>2.7007197418111924E-2</v>
      </c>
      <c r="I49">
        <v>625</v>
      </c>
      <c r="J49" cm="1">
        <f t="array" ref="J49">INDEX(B$42:D$44,INT((ROW()-ROW(J$48))/3)+1,MOD(ROW()-ROW(J$48),3)+1)</f>
        <v>3.9339103068450051E-2</v>
      </c>
    </row>
    <row r="50" spans="6:10" x14ac:dyDescent="0.2">
      <c r="F50">
        <v>625</v>
      </c>
      <c r="G50" cm="1">
        <f t="array" ref="G50">INDEX(B$18:D$20,INT((ROW()-ROW(G$48))/3)+1,MOD(ROW()-ROW(G$48),3)+1)</f>
        <v>2.8129541748928216E-2</v>
      </c>
      <c r="I50">
        <v>625</v>
      </c>
      <c r="J50" cm="1">
        <f t="array" ref="J50">INDEX(B$42:D$44,INT((ROW()-ROW(J$48))/3)+1,MOD(ROW()-ROW(J$48),3)+1)</f>
        <v>8.0520700530094608E-2</v>
      </c>
    </row>
    <row r="51" spans="6:10" x14ac:dyDescent="0.2">
      <c r="F51">
        <v>625</v>
      </c>
      <c r="G51" cm="1">
        <f t="array" ref="G51">INDEX(B$18:D$20,INT((ROW()-ROW(G$48))/3)+1,MOD(ROW()-ROW(G$48),3)+1)</f>
        <v>1.4578144931057522E-2</v>
      </c>
      <c r="I51">
        <v>625</v>
      </c>
      <c r="J51" cm="1">
        <f t="array" ref="J51">INDEX(B$42:D$44,INT((ROW()-ROW(J$48))/3)+1,MOD(ROW()-ROW(J$48),3)+1)</f>
        <v>2.3313646254274168E-2</v>
      </c>
    </row>
    <row r="52" spans="6:10" x14ac:dyDescent="0.2">
      <c r="F52">
        <v>625</v>
      </c>
      <c r="G52" cm="1">
        <f t="array" ref="G52">INDEX(B$18:D$20,INT((ROW()-ROW(G$48))/3)+1,MOD(ROW()-ROW(G$48),3)+1)</f>
        <v>4.0510796127167889E-2</v>
      </c>
      <c r="I52">
        <v>625</v>
      </c>
      <c r="J52" cm="1">
        <f t="array" ref="J52">INDEX(B$42:D$44,INT((ROW()-ROW(J$48))/3)+1,MOD(ROW()-ROW(J$48),3)+1)</f>
        <v>5.900865460267507E-2</v>
      </c>
    </row>
    <row r="53" spans="6:10" x14ac:dyDescent="0.2">
      <c r="F53">
        <v>625</v>
      </c>
      <c r="G53" cm="1">
        <f t="array" ref="G53">INDEX(B$18:D$20,INT((ROW()-ROW(G$48))/3)+1,MOD(ROW()-ROW(G$48),3)+1)</f>
        <v>2.3441284790773516E-2</v>
      </c>
      <c r="I53">
        <v>625</v>
      </c>
      <c r="J53" cm="1">
        <f t="array" ref="J53">INDEX(B$42:D$44,INT((ROW()-ROW(J$48))/3)+1,MOD(ROW()-ROW(J$48),3)+1)</f>
        <v>0.12078105079514191</v>
      </c>
    </row>
    <row r="54" spans="6:10" x14ac:dyDescent="0.2">
      <c r="F54">
        <v>625</v>
      </c>
      <c r="G54" cm="1">
        <f t="array" ref="G54">INDEX(B$18:D$20,INT((ROW()-ROW(G$48))/3)+1,MOD(ROW()-ROW(G$48),3)+1)</f>
        <v>2.1867217396586286E-2</v>
      </c>
      <c r="I54">
        <v>625</v>
      </c>
      <c r="J54" cm="1">
        <f t="array" ref="J54">INDEX(B$42:D$44,INT((ROW()-ROW(J$48))/3)+1,MOD(ROW()-ROW(J$48),3)+1)</f>
        <v>9.3254585017096672E-2</v>
      </c>
    </row>
    <row r="55" spans="6:10" x14ac:dyDescent="0.2">
      <c r="F55">
        <v>625</v>
      </c>
      <c r="G55" cm="1">
        <f t="array" ref="G55">INDEX(B$18:D$20,INT((ROW()-ROW(G$48))/3)+1,MOD(ROW()-ROW(G$48),3)+1)</f>
        <v>3.1058277030828717E-2</v>
      </c>
      <c r="I55">
        <v>625</v>
      </c>
      <c r="J55" cm="1">
        <f t="array" ref="J55">INDEX(B$42:D$44,INT((ROW()-ROW(J$48))/3)+1,MOD(ROW()-ROW(J$48),3)+1)</f>
        <v>9.8347757671125122E-2</v>
      </c>
    </row>
    <row r="56" spans="6:10" x14ac:dyDescent="0.2">
      <c r="F56">
        <v>625</v>
      </c>
      <c r="G56" cm="1">
        <f t="array" ref="G56">INDEX(B$18:D$20,INT((ROW()-ROW(G$48))/3)+1,MOD(ROW()-ROW(G$48),3)+1)</f>
        <v>2.3441284790773516E-2</v>
      </c>
      <c r="I56">
        <v>625</v>
      </c>
      <c r="J56" cm="1">
        <f t="array" ref="J56">INDEX(B$42:D$44,INT((ROW()-ROW(J$48))/3)+1,MOD(ROW()-ROW(J$48),3)+1)</f>
        <v>0.22143192645776016</v>
      </c>
    </row>
    <row r="57" spans="6:10" x14ac:dyDescent="0.2">
      <c r="F57">
        <v>1000</v>
      </c>
      <c r="G57" cm="1">
        <f t="array" ref="G57">INDEX(B$21:D$23,INT((ROW()-ROW(G$57))/3)+1,MOD(ROW()-ROW(G$57),3)+1)</f>
        <v>1.2755876814675335E-2</v>
      </c>
      <c r="I57">
        <v>1000</v>
      </c>
      <c r="J57" cm="1">
        <f t="array" ref="J57">INDEX(B$45:D$47,INT((ROW()-ROW(J$57))/3)+1,MOD(ROW()-ROW(J$57),3)+1)</f>
        <v>6.9940938762822508E-2</v>
      </c>
    </row>
    <row r="58" spans="6:10" x14ac:dyDescent="0.2">
      <c r="F58">
        <v>1000</v>
      </c>
      <c r="G58" cm="1">
        <f t="array" ref="G58">INDEX(B$21:D$23,INT((ROW()-ROW(G$57))/3)+1,MOD(ROW()-ROW(G$57),3)+1)</f>
        <v>1.7554678321772751E-2</v>
      </c>
      <c r="I58">
        <v>1000</v>
      </c>
      <c r="J58" cm="1">
        <f t="array" ref="J58">INDEX(B$45:D$47,INT((ROW()-ROW(J$57))/3)+1,MOD(ROW()-ROW(J$57),3)+1)</f>
        <v>3.9339103068450051E-2</v>
      </c>
    </row>
    <row r="59" spans="6:10" x14ac:dyDescent="0.2">
      <c r="F59">
        <v>1000</v>
      </c>
      <c r="G59" cm="1">
        <f t="array" ref="G59">INDEX(B$21:D$23,INT((ROW()-ROW(G$57))/3)+1,MOD(ROW()-ROW(G$57),3)+1)</f>
        <v>1.2502018555079208E-2</v>
      </c>
      <c r="I59">
        <v>1000</v>
      </c>
      <c r="J59" cm="1">
        <f t="array" ref="J59">INDEX(B$45:D$47,INT((ROW()-ROW(J$57))/3)+1,MOD(ROW()-ROW(J$57),3)+1)</f>
        <v>0.12078105079514191</v>
      </c>
    </row>
    <row r="60" spans="6:10" x14ac:dyDescent="0.2">
      <c r="F60">
        <v>1000</v>
      </c>
      <c r="G60" cm="1">
        <f t="array" ref="G60">INDEX(B$21:D$23,INT((ROW()-ROW(G$57))/3)+1,MOD(ROW()-ROW(G$57),3)+1)</f>
        <v>3.6445362327643806E-3</v>
      </c>
      <c r="I60">
        <v>1000</v>
      </c>
      <c r="J60" cm="1">
        <f t="array" ref="J60">INDEX(B$45:D$47,INT((ROW()-ROW(J$57))/3)+1,MOD(ROW()-ROW(J$57),3)+1)</f>
        <v>4.6627292508548336E-2</v>
      </c>
    </row>
    <row r="61" spans="6:10" x14ac:dyDescent="0.2">
      <c r="F61">
        <v>1000</v>
      </c>
      <c r="G61" cm="1">
        <f t="array" ref="G61">INDEX(B$21:D$23,INT((ROW()-ROW(G$57))/3)+1,MOD(ROW()-ROW(G$57),3)+1)</f>
        <v>2.2956117805395138E-2</v>
      </c>
      <c r="I61">
        <v>1000</v>
      </c>
      <c r="J61" cm="1">
        <f t="array" ref="J61">INDEX(B$45:D$47,INT((ROW()-ROW(J$57))/3)+1,MOD(ROW()-ROW(J$57),3)+1)</f>
        <v>5.900865460267507E-2</v>
      </c>
    </row>
    <row r="62" spans="6:10" x14ac:dyDescent="0.2">
      <c r="F62">
        <v>1000</v>
      </c>
      <c r="G62" cm="1">
        <f t="array" ref="G62">INDEX(B$21:D$23,INT((ROW()-ROW(G$57))/3)+1,MOD(ROW()-ROW(G$57),3)+1)</f>
        <v>1.4064770874464108E-2</v>
      </c>
      <c r="I62">
        <v>1000</v>
      </c>
      <c r="J62" cm="1">
        <f t="array" ref="J62">INDEX(B$45:D$47,INT((ROW()-ROW(J$57))/3)+1,MOD(ROW()-ROW(J$57),3)+1)</f>
        <v>0.14091122592766556</v>
      </c>
    </row>
    <row r="63" spans="6:10" x14ac:dyDescent="0.2">
      <c r="F63">
        <v>1000</v>
      </c>
      <c r="G63" cm="1">
        <f t="array" ref="G63">INDEX(B$21:D$23,INT((ROW()-ROW(G$57))/3)+1,MOD(ROW()-ROW(G$57),3)+1)</f>
        <v>7.2890724655287611E-3</v>
      </c>
      <c r="I63">
        <v>1000</v>
      </c>
      <c r="J63" cm="1">
        <f t="array" ref="J63">INDEX(B$45:D$47,INT((ROW()-ROW(J$57))/3)+1,MOD(ROW()-ROW(J$57),3)+1)</f>
        <v>0.11656823127137084</v>
      </c>
    </row>
    <row r="64" spans="6:10" x14ac:dyDescent="0.2">
      <c r="F64">
        <v>1000</v>
      </c>
      <c r="G64" cm="1">
        <f t="array" ref="G64">INDEX(B$21:D$23,INT((ROW()-ROW(G$57))/3)+1,MOD(ROW()-ROW(G$57),3)+1)</f>
        <v>2.2956117805395138E-2</v>
      </c>
      <c r="I64">
        <v>1000</v>
      </c>
      <c r="J64" cm="1">
        <f t="array" ref="J64">INDEX(B$45:D$47,INT((ROW()-ROW(J$57))/3)+1,MOD(ROW()-ROW(J$57),3)+1)</f>
        <v>5.900865460267507E-2</v>
      </c>
    </row>
    <row r="65" spans="6:10" x14ac:dyDescent="0.2">
      <c r="F65">
        <v>1000</v>
      </c>
      <c r="G65" cm="1">
        <f t="array" ref="G65">INDEX(B$21:D$23,INT((ROW()-ROW(G$57))/3)+1,MOD(ROW()-ROW(G$57),3)+1)</f>
        <v>6.2510092775396042E-3</v>
      </c>
      <c r="I65">
        <v>1000</v>
      </c>
      <c r="J65" cm="1">
        <f t="array" ref="J65">INDEX(B$45:D$47,INT((ROW()-ROW(J$57))/3)+1,MOD(ROW()-ROW(J$57),3)+1)</f>
        <v>6.0390525397570956E-2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Brunetti</dc:creator>
  <cp:lastModifiedBy>Mia Brunetti</cp:lastModifiedBy>
  <dcterms:created xsi:type="dcterms:W3CDTF">2024-02-12T20:01:22Z</dcterms:created>
  <dcterms:modified xsi:type="dcterms:W3CDTF">2024-02-13T13:49:22Z</dcterms:modified>
</cp:coreProperties>
</file>