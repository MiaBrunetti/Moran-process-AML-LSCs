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II 2024-01-24 8227 P7_DR AraC_trial 3/"/>
    </mc:Choice>
  </mc:AlternateContent>
  <xr:revisionPtr revIDLastSave="0" documentId="13_ncr:1_{CE7093BB-3688-0F44-A1B2-8DEAF71054F1}" xr6:coauthVersionLast="47" xr6:coauthVersionMax="47" xr10:uidLastSave="{00000000-0000-0000-0000-000000000000}"/>
  <bookViews>
    <workbookView xWindow="0" yWindow="500" windowWidth="28420" windowHeight="16000" activeTab="6" xr2:uid="{15400350-3218-1245-8FFA-99667100601B}"/>
  </bookViews>
  <sheets>
    <sheet name="Raw data" sheetId="1" r:id="rId1"/>
    <sheet name="Live cells" sheetId="2" r:id="rId2"/>
    <sheet name="CD34-" sheetId="3" r:id="rId3"/>
    <sheet name="CD15+CD34-" sheetId="4" r:id="rId4"/>
    <sheet name="CD34+" sheetId="5" r:id="rId5"/>
    <sheet name="CD34+CD38+" sheetId="6" r:id="rId6"/>
    <sheet name="CD34+CD38-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2" i="6" s="1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D2" i="7" l="1"/>
  <c r="E20" i="7" s="1"/>
  <c r="D2" i="2"/>
  <c r="E20" i="2" s="1"/>
  <c r="E19" i="7"/>
  <c r="E11" i="7"/>
  <c r="E4" i="7"/>
  <c r="E7" i="7"/>
  <c r="E15" i="7"/>
  <c r="E5" i="7"/>
  <c r="E13" i="7"/>
  <c r="E17" i="7"/>
  <c r="E21" i="7"/>
  <c r="D2" i="4"/>
  <c r="E8" i="4" s="1"/>
  <c r="E22" i="6"/>
  <c r="E20" i="6"/>
  <c r="E18" i="6"/>
  <c r="E16" i="6"/>
  <c r="E14" i="6"/>
  <c r="E12" i="6"/>
  <c r="E10" i="6"/>
  <c r="E8" i="6"/>
  <c r="E6" i="6"/>
  <c r="E4" i="6"/>
  <c r="E2" i="6"/>
  <c r="E3" i="6"/>
  <c r="E7" i="6"/>
  <c r="E11" i="6"/>
  <c r="E15" i="6"/>
  <c r="E19" i="6"/>
  <c r="E5" i="6"/>
  <c r="E9" i="6"/>
  <c r="E13" i="6"/>
  <c r="E17" i="6"/>
  <c r="E21" i="6"/>
  <c r="E2" i="7"/>
  <c r="E8" i="7"/>
  <c r="D2" i="5"/>
  <c r="E6" i="7"/>
  <c r="E10" i="7"/>
  <c r="E16" i="7"/>
  <c r="E22" i="7"/>
  <c r="D2" i="3"/>
  <c r="E22" i="3" s="1"/>
  <c r="E12" i="7" l="1"/>
  <c r="E14" i="7"/>
  <c r="E18" i="7"/>
  <c r="E9" i="7"/>
  <c r="E3" i="7"/>
  <c r="E18" i="4"/>
  <c r="E10" i="2"/>
  <c r="E15" i="2"/>
  <c r="E16" i="2"/>
  <c r="E7" i="2"/>
  <c r="E2" i="2"/>
  <c r="E8" i="2"/>
  <c r="E9" i="2"/>
  <c r="E18" i="2"/>
  <c r="E13" i="2"/>
  <c r="E6" i="2"/>
  <c r="E22" i="2"/>
  <c r="E11" i="2"/>
  <c r="E4" i="2"/>
  <c r="E17" i="2"/>
  <c r="E12" i="2"/>
  <c r="E5" i="2"/>
  <c r="E21" i="2"/>
  <c r="E14" i="2"/>
  <c r="E3" i="2"/>
  <c r="E19" i="2"/>
  <c r="E3" i="4"/>
  <c r="E19" i="4"/>
  <c r="E16" i="4"/>
  <c r="E10" i="4"/>
  <c r="E7" i="4"/>
  <c r="E15" i="4"/>
  <c r="E4" i="4"/>
  <c r="E22" i="4"/>
  <c r="E6" i="4"/>
  <c r="E9" i="4"/>
  <c r="E17" i="4"/>
  <c r="E11" i="4"/>
  <c r="E20" i="4"/>
  <c r="E2" i="4"/>
  <c r="E14" i="4"/>
  <c r="E5" i="4"/>
  <c r="E13" i="4"/>
  <c r="E21" i="4"/>
  <c r="E12" i="4"/>
  <c r="E21" i="5"/>
  <c r="E19" i="5"/>
  <c r="E17" i="5"/>
  <c r="E15" i="5"/>
  <c r="E13" i="5"/>
  <c r="E11" i="5"/>
  <c r="E9" i="5"/>
  <c r="E7" i="5"/>
  <c r="E5" i="5"/>
  <c r="E3" i="5"/>
  <c r="E22" i="5"/>
  <c r="E20" i="5"/>
  <c r="E18" i="5"/>
  <c r="E16" i="5"/>
  <c r="E14" i="5"/>
  <c r="E12" i="5"/>
  <c r="E10" i="5"/>
  <c r="E8" i="5"/>
  <c r="E6" i="5"/>
  <c r="E4" i="5"/>
  <c r="E20" i="3"/>
  <c r="E18" i="3"/>
  <c r="E16" i="3"/>
  <c r="E14" i="3"/>
  <c r="E12" i="3"/>
  <c r="E10" i="3"/>
  <c r="E8" i="3"/>
  <c r="E6" i="3"/>
  <c r="E4" i="3"/>
  <c r="E19" i="3"/>
  <c r="E17" i="3"/>
  <c r="E15" i="3"/>
  <c r="E13" i="3"/>
  <c r="E11" i="3"/>
  <c r="E9" i="3"/>
  <c r="E7" i="3"/>
  <c r="E5" i="3"/>
  <c r="E3" i="3"/>
  <c r="E2" i="3"/>
  <c r="E21" i="3"/>
  <c r="E2" i="5"/>
</calcChain>
</file>

<file path=xl/sharedStrings.xml><?xml version="1.0" encoding="utf-8"?>
<sst xmlns="http://schemas.openxmlformats.org/spreadsheetml/2006/main" count="184" uniqueCount="31">
  <si>
    <t>Sample:</t>
  </si>
  <si>
    <t>1 nM AraC_B3_B03_004.fcs</t>
  </si>
  <si>
    <t>1 nM AraC_C3_C03_005.fcs</t>
  </si>
  <si>
    <t>1 nM AraC_D3_D03_006.fcs</t>
  </si>
  <si>
    <t>5 nM AraC_B4_B04_007.fcs</t>
  </si>
  <si>
    <t>5 nM AraC_C4_C04_008.fcs</t>
  </si>
  <si>
    <t>5 nM AraC_D4_D04_009.fcs</t>
  </si>
  <si>
    <t>25 nM AraC_B5_B05_010.fcs</t>
  </si>
  <si>
    <t>25 nM AraC_C5_C05_011.fcs</t>
  </si>
  <si>
    <t>25 nM AraC_D5_D05_012.fcs</t>
  </si>
  <si>
    <t>125 nM AraC_B6_B06_013.fcs</t>
  </si>
  <si>
    <t>125 nM AraC_C6_C06_014.fcs</t>
  </si>
  <si>
    <t>125 nM AraC_D6_D06_015.fcs</t>
  </si>
  <si>
    <t>625 nM AraC_B7_B07_016.fcs</t>
  </si>
  <si>
    <t>625 nM AraC_C7_C07_017.fcs</t>
  </si>
  <si>
    <t>625 nM AraC_D7_D07_018.fcs</t>
  </si>
  <si>
    <t>1000 nM AraC_B8_B08_019.fcs</t>
  </si>
  <si>
    <t>1000 nM AraC_C8_C08_020.fcs</t>
  </si>
  <si>
    <t>1000 nM AraC_D8_D08_021.fcs</t>
  </si>
  <si>
    <t>DMSO_8227_B2_B02_001.fcs</t>
  </si>
  <si>
    <t>DMSO_8227_C2_C02_002.fcs</t>
  </si>
  <si>
    <t>DMSO_8227_D2_D02_003.fcs</t>
  </si>
  <si>
    <t>CD15+CD34-</t>
  </si>
  <si>
    <t>CD34+</t>
  </si>
  <si>
    <t>CD34-</t>
  </si>
  <si>
    <t>CD34+CD38+</t>
  </si>
  <si>
    <t>CD34+CD38-</t>
  </si>
  <si>
    <t>adjusted cell count</t>
  </si>
  <si>
    <t>DMSO control average</t>
  </si>
  <si>
    <t>% cells normalized to DMSO</t>
  </si>
  <si>
    <t>LIVE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</si>
</sst>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B858-542E-D945-AF50-84E1B5BBC737}">
  <dimension ref="A1:G22"/>
  <sheetViews>
    <sheetView workbookViewId="0">
      <selection activeCell="C1" sqref="C1:C1048576"/>
    </sheetView>
  </sheetViews>
  <sheetFormatPr baseColWidth="10" defaultRowHeight="16" x14ac:dyDescent="0.2"/>
  <cols>
    <col min="3" max="3" width="13.83203125" customWidth="1"/>
    <col min="4" max="5" width="13.33203125" customWidth="1"/>
    <col min="6" max="6" width="14.83203125" customWidth="1"/>
  </cols>
  <sheetData>
    <row r="1" spans="1:7" x14ac:dyDescent="0.2">
      <c r="A1" t="s">
        <v>0</v>
      </c>
      <c r="B1" t="s">
        <v>30</v>
      </c>
      <c r="C1" t="s">
        <v>26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t="s">
        <v>19</v>
      </c>
      <c r="B2">
        <v>46124</v>
      </c>
      <c r="C2">
        <v>686</v>
      </c>
      <c r="D2">
        <v>7278</v>
      </c>
      <c r="E2">
        <v>5250</v>
      </c>
      <c r="F2">
        <v>39993</v>
      </c>
      <c r="G2">
        <v>4629</v>
      </c>
    </row>
    <row r="3" spans="1:7" x14ac:dyDescent="0.2">
      <c r="A3" t="s">
        <v>20</v>
      </c>
      <c r="B3">
        <v>44834</v>
      </c>
      <c r="C3">
        <v>526</v>
      </c>
      <c r="D3">
        <v>6293</v>
      </c>
      <c r="E3">
        <v>4603</v>
      </c>
      <c r="F3">
        <v>39326</v>
      </c>
      <c r="G3">
        <v>4146</v>
      </c>
    </row>
    <row r="4" spans="1:7" x14ac:dyDescent="0.2">
      <c r="A4" t="s">
        <v>21</v>
      </c>
      <c r="B4">
        <v>42657</v>
      </c>
      <c r="C4">
        <v>728</v>
      </c>
      <c r="D4">
        <v>5797</v>
      </c>
      <c r="E4">
        <v>5050</v>
      </c>
      <c r="F4">
        <v>36711</v>
      </c>
      <c r="G4">
        <v>4392</v>
      </c>
    </row>
    <row r="5" spans="1:7" x14ac:dyDescent="0.2">
      <c r="A5" t="s">
        <v>1</v>
      </c>
      <c r="B5">
        <v>41602</v>
      </c>
      <c r="C5">
        <v>518</v>
      </c>
      <c r="D5">
        <v>5801</v>
      </c>
      <c r="E5">
        <v>4701</v>
      </c>
      <c r="F5">
        <v>36137</v>
      </c>
      <c r="G5">
        <v>4226</v>
      </c>
    </row>
    <row r="6" spans="1:7" x14ac:dyDescent="0.2">
      <c r="A6" t="s">
        <v>2</v>
      </c>
      <c r="B6">
        <v>42409</v>
      </c>
      <c r="C6">
        <v>328</v>
      </c>
      <c r="D6">
        <v>5932</v>
      </c>
      <c r="E6">
        <v>4108</v>
      </c>
      <c r="F6">
        <v>37481</v>
      </c>
      <c r="G6">
        <v>3836</v>
      </c>
    </row>
    <row r="7" spans="1:7" x14ac:dyDescent="0.2">
      <c r="A7" t="s">
        <v>3</v>
      </c>
      <c r="B7">
        <v>43416</v>
      </c>
      <c r="C7">
        <v>564</v>
      </c>
      <c r="D7">
        <v>5158</v>
      </c>
      <c r="E7">
        <v>4721</v>
      </c>
      <c r="F7">
        <v>37856</v>
      </c>
      <c r="G7">
        <v>4230</v>
      </c>
    </row>
    <row r="8" spans="1:7" x14ac:dyDescent="0.2">
      <c r="A8" t="s">
        <v>4</v>
      </c>
      <c r="B8">
        <v>34861</v>
      </c>
      <c r="C8">
        <v>273</v>
      </c>
      <c r="D8">
        <v>3255</v>
      </c>
      <c r="E8">
        <v>3094</v>
      </c>
      <c r="F8">
        <v>31195</v>
      </c>
      <c r="G8">
        <v>2857</v>
      </c>
    </row>
    <row r="9" spans="1:7" x14ac:dyDescent="0.2">
      <c r="A9" t="s">
        <v>5</v>
      </c>
      <c r="B9">
        <v>36518</v>
      </c>
      <c r="C9">
        <v>220</v>
      </c>
      <c r="D9">
        <v>4102</v>
      </c>
      <c r="E9">
        <v>3021</v>
      </c>
      <c r="F9">
        <v>32890</v>
      </c>
      <c r="G9">
        <v>2834</v>
      </c>
    </row>
    <row r="10" spans="1:7" x14ac:dyDescent="0.2">
      <c r="A10" t="s">
        <v>6</v>
      </c>
      <c r="B10">
        <v>35902</v>
      </c>
      <c r="C10">
        <v>205</v>
      </c>
      <c r="D10">
        <v>2518</v>
      </c>
      <c r="E10">
        <v>2798</v>
      </c>
      <c r="F10">
        <v>32456</v>
      </c>
      <c r="G10">
        <v>2648</v>
      </c>
    </row>
    <row r="11" spans="1:7" x14ac:dyDescent="0.2">
      <c r="A11" t="s">
        <v>7</v>
      </c>
      <c r="B11">
        <v>14735</v>
      </c>
      <c r="C11">
        <v>78</v>
      </c>
      <c r="D11">
        <v>1046</v>
      </c>
      <c r="E11">
        <v>921</v>
      </c>
      <c r="F11">
        <v>13572</v>
      </c>
      <c r="G11">
        <v>850</v>
      </c>
    </row>
    <row r="12" spans="1:7" x14ac:dyDescent="0.2">
      <c r="A12" t="s">
        <v>8</v>
      </c>
      <c r="B12">
        <v>10918</v>
      </c>
      <c r="C12">
        <v>41</v>
      </c>
      <c r="D12">
        <v>955</v>
      </c>
      <c r="E12">
        <v>332</v>
      </c>
      <c r="F12">
        <v>10376</v>
      </c>
      <c r="G12">
        <v>303</v>
      </c>
    </row>
    <row r="13" spans="1:7" x14ac:dyDescent="0.2">
      <c r="A13" t="s">
        <v>9</v>
      </c>
      <c r="B13">
        <v>10211</v>
      </c>
      <c r="C13">
        <v>47</v>
      </c>
      <c r="D13">
        <v>711</v>
      </c>
      <c r="E13">
        <v>500</v>
      </c>
      <c r="F13">
        <v>9510</v>
      </c>
      <c r="G13">
        <v>468</v>
      </c>
    </row>
    <row r="14" spans="1:7" x14ac:dyDescent="0.2">
      <c r="A14" t="s">
        <v>10</v>
      </c>
      <c r="B14">
        <v>1646</v>
      </c>
      <c r="C14">
        <v>4</v>
      </c>
      <c r="D14">
        <v>246</v>
      </c>
      <c r="E14">
        <v>12</v>
      </c>
      <c r="F14">
        <v>1579</v>
      </c>
      <c r="G14">
        <v>8</v>
      </c>
    </row>
    <row r="15" spans="1:7" x14ac:dyDescent="0.2">
      <c r="A15" t="s">
        <v>11</v>
      </c>
      <c r="B15">
        <v>1228</v>
      </c>
      <c r="C15">
        <v>5</v>
      </c>
      <c r="D15">
        <v>222</v>
      </c>
      <c r="E15">
        <v>10</v>
      </c>
      <c r="F15">
        <v>1179</v>
      </c>
      <c r="G15">
        <v>5</v>
      </c>
    </row>
    <row r="16" spans="1:7" x14ac:dyDescent="0.2">
      <c r="A16" t="s">
        <v>12</v>
      </c>
      <c r="B16">
        <v>1679</v>
      </c>
      <c r="C16">
        <v>10</v>
      </c>
      <c r="D16">
        <v>251</v>
      </c>
      <c r="E16">
        <v>14</v>
      </c>
      <c r="F16">
        <v>1616</v>
      </c>
      <c r="G16">
        <v>4</v>
      </c>
    </row>
    <row r="17" spans="1:7" x14ac:dyDescent="0.2">
      <c r="A17" t="s">
        <v>13</v>
      </c>
      <c r="B17">
        <v>483</v>
      </c>
      <c r="C17">
        <v>3</v>
      </c>
      <c r="D17">
        <v>66</v>
      </c>
      <c r="E17">
        <v>4</v>
      </c>
      <c r="F17">
        <v>457</v>
      </c>
      <c r="G17">
        <v>2</v>
      </c>
    </row>
    <row r="18" spans="1:7" x14ac:dyDescent="0.2">
      <c r="A18" t="s">
        <v>14</v>
      </c>
      <c r="B18">
        <v>441</v>
      </c>
      <c r="C18">
        <v>5</v>
      </c>
      <c r="D18">
        <v>71</v>
      </c>
      <c r="E18">
        <v>6</v>
      </c>
      <c r="F18">
        <v>419</v>
      </c>
      <c r="G18">
        <v>3</v>
      </c>
    </row>
    <row r="19" spans="1:7" x14ac:dyDescent="0.2">
      <c r="A19" t="s">
        <v>15</v>
      </c>
      <c r="B19">
        <v>418</v>
      </c>
      <c r="C19">
        <v>9</v>
      </c>
      <c r="D19">
        <v>67</v>
      </c>
      <c r="E19">
        <v>11</v>
      </c>
      <c r="F19">
        <v>390</v>
      </c>
      <c r="G19">
        <v>3</v>
      </c>
    </row>
    <row r="20" spans="1:7" x14ac:dyDescent="0.2">
      <c r="A20" t="s">
        <v>16</v>
      </c>
      <c r="B20">
        <v>416</v>
      </c>
      <c r="C20">
        <v>3</v>
      </c>
      <c r="D20">
        <v>60</v>
      </c>
      <c r="E20">
        <v>6</v>
      </c>
      <c r="F20">
        <v>391</v>
      </c>
      <c r="G20">
        <v>4</v>
      </c>
    </row>
    <row r="21" spans="1:7" x14ac:dyDescent="0.2">
      <c r="A21" t="s">
        <v>17</v>
      </c>
      <c r="B21">
        <v>343</v>
      </c>
      <c r="C21">
        <v>3</v>
      </c>
      <c r="D21">
        <v>32</v>
      </c>
      <c r="E21">
        <v>7</v>
      </c>
      <c r="F21">
        <v>316</v>
      </c>
      <c r="G21">
        <v>6</v>
      </c>
    </row>
    <row r="22" spans="1:7" x14ac:dyDescent="0.2">
      <c r="A22" t="s">
        <v>18</v>
      </c>
      <c r="B22">
        <v>363</v>
      </c>
      <c r="C22">
        <v>3</v>
      </c>
      <c r="D22">
        <v>45</v>
      </c>
      <c r="E22">
        <v>3</v>
      </c>
      <c r="F22">
        <v>347</v>
      </c>
      <c r="G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A7C9-4E9E-2D47-928E-A5A2FFC6AE3C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30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46124</v>
      </c>
      <c r="C2">
        <f>((B2*200/50)*(100/90))</f>
        <v>204995.55555555556</v>
      </c>
      <c r="D2">
        <f>AVERAGE(C2:C4)</f>
        <v>197948.14814814818</v>
      </c>
      <c r="E2">
        <f>(C2/$D$2)*100</f>
        <v>103.56022901620325</v>
      </c>
    </row>
    <row r="3" spans="1:5" x14ac:dyDescent="0.2">
      <c r="A3" t="s">
        <v>20</v>
      </c>
      <c r="B3">
        <v>44834</v>
      </c>
      <c r="C3">
        <f t="shared" ref="C3:C22" si="0">((B3*200/50)*(100/90))</f>
        <v>199262.22222222222</v>
      </c>
      <c r="E3">
        <f t="shared" ref="E3:E22" si="1">(C3/$D$2)*100</f>
        <v>100.66384762189873</v>
      </c>
    </row>
    <row r="4" spans="1:5" x14ac:dyDescent="0.2">
      <c r="A4" t="s">
        <v>21</v>
      </c>
      <c r="B4">
        <v>42657</v>
      </c>
      <c r="C4">
        <f t="shared" si="0"/>
        <v>189586.66666666669</v>
      </c>
      <c r="E4">
        <f t="shared" si="1"/>
        <v>95.775923361897981</v>
      </c>
    </row>
    <row r="5" spans="1:5" x14ac:dyDescent="0.2">
      <c r="A5" t="s">
        <v>1</v>
      </c>
      <c r="B5">
        <v>41602</v>
      </c>
      <c r="C5">
        <f t="shared" si="0"/>
        <v>184897.77777777778</v>
      </c>
      <c r="E5">
        <f t="shared" si="1"/>
        <v>93.407177337873719</v>
      </c>
    </row>
    <row r="6" spans="1:5" x14ac:dyDescent="0.2">
      <c r="A6" t="s">
        <v>2</v>
      </c>
      <c r="B6">
        <v>42409</v>
      </c>
      <c r="C6">
        <f t="shared" si="0"/>
        <v>188484.44444444447</v>
      </c>
      <c r="E6">
        <f t="shared" si="1"/>
        <v>95.219099651985189</v>
      </c>
    </row>
    <row r="7" spans="1:5" x14ac:dyDescent="0.2">
      <c r="A7" t="s">
        <v>3</v>
      </c>
      <c r="B7">
        <v>43416</v>
      </c>
      <c r="C7">
        <f t="shared" si="0"/>
        <v>192960</v>
      </c>
      <c r="E7">
        <f t="shared" si="1"/>
        <v>97.480073345058543</v>
      </c>
    </row>
    <row r="8" spans="1:5" x14ac:dyDescent="0.2">
      <c r="A8" t="s">
        <v>4</v>
      </c>
      <c r="B8">
        <v>34861</v>
      </c>
      <c r="C8">
        <f t="shared" si="0"/>
        <v>154937.77777777778</v>
      </c>
      <c r="E8">
        <f t="shared" si="1"/>
        <v>78.271900609961449</v>
      </c>
    </row>
    <row r="9" spans="1:5" x14ac:dyDescent="0.2">
      <c r="A9" t="s">
        <v>5</v>
      </c>
      <c r="B9">
        <v>36518</v>
      </c>
      <c r="C9">
        <f t="shared" si="0"/>
        <v>162302.22222222222</v>
      </c>
      <c r="E9">
        <f t="shared" si="1"/>
        <v>81.99229128466115</v>
      </c>
    </row>
    <row r="10" spans="1:5" x14ac:dyDescent="0.2">
      <c r="A10" t="s">
        <v>6</v>
      </c>
      <c r="B10">
        <v>35902</v>
      </c>
      <c r="C10">
        <f t="shared" si="0"/>
        <v>159564.44444444444</v>
      </c>
      <c r="E10">
        <f t="shared" si="1"/>
        <v>80.60921303745836</v>
      </c>
    </row>
    <row r="11" spans="1:5" x14ac:dyDescent="0.2">
      <c r="A11" t="s">
        <v>7</v>
      </c>
      <c r="B11">
        <v>14735</v>
      </c>
      <c r="C11">
        <f t="shared" si="0"/>
        <v>65488.888888888891</v>
      </c>
      <c r="E11">
        <f t="shared" si="1"/>
        <v>33.083860345021137</v>
      </c>
    </row>
    <row r="12" spans="1:5" x14ac:dyDescent="0.2">
      <c r="A12" t="s">
        <v>8</v>
      </c>
      <c r="B12">
        <v>10918</v>
      </c>
      <c r="C12">
        <f t="shared" si="0"/>
        <v>48524.444444444445</v>
      </c>
      <c r="E12">
        <f t="shared" si="1"/>
        <v>24.51371477753246</v>
      </c>
    </row>
    <row r="13" spans="1:5" x14ac:dyDescent="0.2">
      <c r="A13" t="s">
        <v>9</v>
      </c>
      <c r="B13">
        <v>10211</v>
      </c>
      <c r="C13">
        <f t="shared" si="0"/>
        <v>45382.222222222226</v>
      </c>
      <c r="E13">
        <f t="shared" si="1"/>
        <v>22.926318152901992</v>
      </c>
    </row>
    <row r="14" spans="1:5" x14ac:dyDescent="0.2">
      <c r="A14" t="s">
        <v>10</v>
      </c>
      <c r="B14">
        <v>1646</v>
      </c>
      <c r="C14">
        <f t="shared" si="0"/>
        <v>7315.5555555555557</v>
      </c>
      <c r="E14">
        <f t="shared" si="1"/>
        <v>3.6956928488567895</v>
      </c>
    </row>
    <row r="15" spans="1:5" x14ac:dyDescent="0.2">
      <c r="A15" t="s">
        <v>11</v>
      </c>
      <c r="B15">
        <v>1228</v>
      </c>
      <c r="C15">
        <f t="shared" si="0"/>
        <v>5457.7777777777783</v>
      </c>
      <c r="E15">
        <f t="shared" si="1"/>
        <v>2.7571754668263293</v>
      </c>
    </row>
    <row r="16" spans="1:5" x14ac:dyDescent="0.2">
      <c r="A16" t="s">
        <v>12</v>
      </c>
      <c r="B16">
        <v>1679</v>
      </c>
      <c r="C16">
        <f t="shared" si="0"/>
        <v>7462.2222222222226</v>
      </c>
      <c r="E16">
        <f t="shared" si="1"/>
        <v>3.7697863263855105</v>
      </c>
    </row>
    <row r="17" spans="1:5" x14ac:dyDescent="0.2">
      <c r="A17" t="s">
        <v>13</v>
      </c>
      <c r="B17">
        <v>483</v>
      </c>
      <c r="C17">
        <f t="shared" si="0"/>
        <v>2146.666666666667</v>
      </c>
      <c r="E17">
        <f t="shared" si="1"/>
        <v>1.084459080193092</v>
      </c>
    </row>
    <row r="18" spans="1:5" x14ac:dyDescent="0.2">
      <c r="A18" t="s">
        <v>14</v>
      </c>
      <c r="B18">
        <v>441</v>
      </c>
      <c r="C18">
        <f t="shared" si="0"/>
        <v>1960</v>
      </c>
      <c r="E18">
        <f t="shared" si="1"/>
        <v>0.99015829061108396</v>
      </c>
    </row>
    <row r="19" spans="1:5" x14ac:dyDescent="0.2">
      <c r="A19" t="s">
        <v>15</v>
      </c>
      <c r="B19">
        <v>418</v>
      </c>
      <c r="C19">
        <f t="shared" si="0"/>
        <v>1857.7777777777778</v>
      </c>
      <c r="E19">
        <f t="shared" si="1"/>
        <v>0.93851738203046053</v>
      </c>
    </row>
    <row r="20" spans="1:5" x14ac:dyDescent="0.2">
      <c r="A20" t="s">
        <v>16</v>
      </c>
      <c r="B20">
        <v>416</v>
      </c>
      <c r="C20">
        <f t="shared" si="0"/>
        <v>1848.8888888888889</v>
      </c>
      <c r="E20">
        <f t="shared" si="1"/>
        <v>0.93402686824084113</v>
      </c>
    </row>
    <row r="21" spans="1:5" x14ac:dyDescent="0.2">
      <c r="A21" t="s">
        <v>17</v>
      </c>
      <c r="B21">
        <v>343</v>
      </c>
      <c r="C21">
        <f t="shared" si="0"/>
        <v>1524.4444444444446</v>
      </c>
      <c r="E21">
        <f t="shared" si="1"/>
        <v>0.77012311491973207</v>
      </c>
    </row>
    <row r="22" spans="1:5" x14ac:dyDescent="0.2">
      <c r="A22" t="s">
        <v>18</v>
      </c>
      <c r="B22">
        <v>363</v>
      </c>
      <c r="C22">
        <f t="shared" si="0"/>
        <v>1613.3333333333335</v>
      </c>
      <c r="E22">
        <f t="shared" si="1"/>
        <v>0.81502825281592628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CB18-DC9D-E74C-9048-148AF6CB4B9E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4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24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39993</v>
      </c>
      <c r="C2">
        <f>((B2*200/50)*(100/90))</f>
        <v>177746.66666666669</v>
      </c>
      <c r="D2">
        <f>AVERAGE(C2:C4)</f>
        <v>171896.29629629629</v>
      </c>
      <c r="E2">
        <f>(C2/$D$2)*100</f>
        <v>103.4034301473757</v>
      </c>
    </row>
    <row r="3" spans="1:5" x14ac:dyDescent="0.2">
      <c r="A3" t="s">
        <v>20</v>
      </c>
      <c r="B3">
        <v>39326</v>
      </c>
      <c r="C3">
        <f t="shared" ref="C3:C22" si="0">((B3*200/50)*(100/90))</f>
        <v>174782.22222222222</v>
      </c>
      <c r="E3">
        <f t="shared" ref="E3:E22" si="1">(C3/$D$2)*100</f>
        <v>101.67887615271913</v>
      </c>
    </row>
    <row r="4" spans="1:5" x14ac:dyDescent="0.2">
      <c r="A4" t="s">
        <v>21</v>
      </c>
      <c r="B4">
        <v>36711</v>
      </c>
      <c r="C4">
        <f t="shared" si="0"/>
        <v>163160</v>
      </c>
      <c r="E4">
        <f t="shared" si="1"/>
        <v>94.9176936999052</v>
      </c>
    </row>
    <row r="5" spans="1:5" x14ac:dyDescent="0.2">
      <c r="A5" t="s">
        <v>1</v>
      </c>
      <c r="B5">
        <v>36137</v>
      </c>
      <c r="C5">
        <f t="shared" si="0"/>
        <v>160608.88888888891</v>
      </c>
      <c r="E5">
        <f t="shared" si="1"/>
        <v>93.433594759975875</v>
      </c>
    </row>
    <row r="6" spans="1:5" x14ac:dyDescent="0.2">
      <c r="A6" t="s">
        <v>2</v>
      </c>
      <c r="B6">
        <v>37481</v>
      </c>
      <c r="C6">
        <f t="shared" si="0"/>
        <v>166582.22222222222</v>
      </c>
      <c r="E6">
        <f t="shared" si="1"/>
        <v>96.908558131517708</v>
      </c>
    </row>
    <row r="7" spans="1:5" x14ac:dyDescent="0.2">
      <c r="A7" t="s">
        <v>3</v>
      </c>
      <c r="B7">
        <v>37856</v>
      </c>
      <c r="C7">
        <f t="shared" si="0"/>
        <v>168248.88888888891</v>
      </c>
      <c r="E7">
        <f t="shared" si="1"/>
        <v>97.878134965095242</v>
      </c>
    </row>
    <row r="8" spans="1:5" x14ac:dyDescent="0.2">
      <c r="A8" t="s">
        <v>4</v>
      </c>
      <c r="B8">
        <v>31195</v>
      </c>
      <c r="C8">
        <f t="shared" si="0"/>
        <v>138644.44444444444</v>
      </c>
      <c r="E8">
        <f t="shared" si="1"/>
        <v>80.655864862535552</v>
      </c>
    </row>
    <row r="9" spans="1:5" x14ac:dyDescent="0.2">
      <c r="A9" t="s">
        <v>5</v>
      </c>
      <c r="B9">
        <v>32890</v>
      </c>
      <c r="C9">
        <f t="shared" si="0"/>
        <v>146177.77777777778</v>
      </c>
      <c r="E9">
        <f t="shared" si="1"/>
        <v>85.038352150305968</v>
      </c>
    </row>
    <row r="10" spans="1:5" x14ac:dyDescent="0.2">
      <c r="A10" t="s">
        <v>6</v>
      </c>
      <c r="B10">
        <v>32456</v>
      </c>
      <c r="C10">
        <f t="shared" si="0"/>
        <v>144248.88888888891</v>
      </c>
      <c r="E10">
        <f t="shared" si="1"/>
        <v>83.916228561578905</v>
      </c>
    </row>
    <row r="11" spans="1:5" x14ac:dyDescent="0.2">
      <c r="A11" t="s">
        <v>7</v>
      </c>
      <c r="B11">
        <v>13572</v>
      </c>
      <c r="C11">
        <f t="shared" si="0"/>
        <v>60320</v>
      </c>
      <c r="E11">
        <f t="shared" si="1"/>
        <v>35.090924760837716</v>
      </c>
    </row>
    <row r="12" spans="1:5" x14ac:dyDescent="0.2">
      <c r="A12" t="s">
        <v>8</v>
      </c>
      <c r="B12">
        <v>10376</v>
      </c>
      <c r="C12">
        <f t="shared" si="0"/>
        <v>46115.555555555555</v>
      </c>
      <c r="E12">
        <f t="shared" si="1"/>
        <v>26.827544600534342</v>
      </c>
    </row>
    <row r="13" spans="1:5" x14ac:dyDescent="0.2">
      <c r="A13" t="s">
        <v>9</v>
      </c>
      <c r="B13">
        <v>9510</v>
      </c>
      <c r="C13">
        <f t="shared" si="0"/>
        <v>42266.666666666672</v>
      </c>
      <c r="E13">
        <f t="shared" si="1"/>
        <v>24.588468499525991</v>
      </c>
    </row>
    <row r="14" spans="1:5" x14ac:dyDescent="0.2">
      <c r="A14" t="s">
        <v>10</v>
      </c>
      <c r="B14">
        <v>1579</v>
      </c>
      <c r="C14">
        <f t="shared" si="0"/>
        <v>7017.7777777777783</v>
      </c>
      <c r="E14">
        <f t="shared" si="1"/>
        <v>4.0825648539170905</v>
      </c>
    </row>
    <row r="15" spans="1:5" x14ac:dyDescent="0.2">
      <c r="A15" t="s">
        <v>11</v>
      </c>
      <c r="B15">
        <v>1179</v>
      </c>
      <c r="C15">
        <f t="shared" si="0"/>
        <v>5240</v>
      </c>
      <c r="E15">
        <f t="shared" si="1"/>
        <v>3.0483495647677326</v>
      </c>
    </row>
    <row r="16" spans="1:5" x14ac:dyDescent="0.2">
      <c r="A16" t="s">
        <v>12</v>
      </c>
      <c r="B16">
        <v>1616</v>
      </c>
      <c r="C16">
        <f t="shared" si="0"/>
        <v>7182.2222222222226</v>
      </c>
      <c r="E16">
        <f t="shared" si="1"/>
        <v>4.1782297681634066</v>
      </c>
    </row>
    <row r="17" spans="1:5" x14ac:dyDescent="0.2">
      <c r="A17" t="s">
        <v>13</v>
      </c>
      <c r="B17">
        <v>457</v>
      </c>
      <c r="C17">
        <f t="shared" si="0"/>
        <v>2031.1111111111113</v>
      </c>
      <c r="E17">
        <f t="shared" si="1"/>
        <v>1.1815909678531415</v>
      </c>
    </row>
    <row r="18" spans="1:5" x14ac:dyDescent="0.2">
      <c r="A18" t="s">
        <v>14</v>
      </c>
      <c r="B18">
        <v>419</v>
      </c>
      <c r="C18">
        <f t="shared" si="0"/>
        <v>1862.2222222222224</v>
      </c>
      <c r="E18">
        <f t="shared" si="1"/>
        <v>1.0833405153839526</v>
      </c>
    </row>
    <row r="19" spans="1:5" x14ac:dyDescent="0.2">
      <c r="A19" t="s">
        <v>15</v>
      </c>
      <c r="B19">
        <v>390</v>
      </c>
      <c r="C19">
        <f t="shared" si="0"/>
        <v>1733.3333333333335</v>
      </c>
      <c r="E19">
        <f t="shared" si="1"/>
        <v>1.0083599069206239</v>
      </c>
    </row>
    <row r="20" spans="1:5" x14ac:dyDescent="0.2">
      <c r="A20" t="s">
        <v>16</v>
      </c>
      <c r="B20">
        <v>391</v>
      </c>
      <c r="C20">
        <f t="shared" si="0"/>
        <v>1737.7777777777778</v>
      </c>
      <c r="E20">
        <f t="shared" si="1"/>
        <v>1.0109454451434974</v>
      </c>
    </row>
    <row r="21" spans="1:5" x14ac:dyDescent="0.2">
      <c r="A21" t="s">
        <v>17</v>
      </c>
      <c r="B21">
        <v>316</v>
      </c>
      <c r="C21">
        <f t="shared" si="0"/>
        <v>1404.4444444444446</v>
      </c>
      <c r="E21">
        <f t="shared" si="1"/>
        <v>0.81703007842799291</v>
      </c>
    </row>
    <row r="22" spans="1:5" x14ac:dyDescent="0.2">
      <c r="A22" t="s">
        <v>18</v>
      </c>
      <c r="B22">
        <v>347</v>
      </c>
      <c r="C22">
        <f t="shared" si="0"/>
        <v>1542.2222222222224</v>
      </c>
      <c r="E22">
        <f t="shared" si="1"/>
        <v>0.89718176333706801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17AB-BE72-FC4B-8806-63BD358F20ED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3.3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22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7278</v>
      </c>
      <c r="C2">
        <f>((B2*200/50)*(100/90))</f>
        <v>32346.666666666668</v>
      </c>
      <c r="D2">
        <f>AVERAGE(C2:C4)</f>
        <v>28693.333333333332</v>
      </c>
      <c r="E2">
        <f>(C2/$D$2)*100</f>
        <v>112.73234200743497</v>
      </c>
    </row>
    <row r="3" spans="1:5" x14ac:dyDescent="0.2">
      <c r="A3" t="s">
        <v>20</v>
      </c>
      <c r="B3">
        <v>6293</v>
      </c>
      <c r="C3">
        <f t="shared" ref="C3:C22" si="0">((B3*200/50)*(100/90))</f>
        <v>27968.888888888891</v>
      </c>
      <c r="E3">
        <f t="shared" ref="E3:E22" si="1">(C3/$D$2)*100</f>
        <v>97.475216852540285</v>
      </c>
    </row>
    <row r="4" spans="1:5" x14ac:dyDescent="0.2">
      <c r="A4" t="s">
        <v>21</v>
      </c>
      <c r="B4">
        <v>5797</v>
      </c>
      <c r="C4">
        <f t="shared" si="0"/>
        <v>25764.444444444445</v>
      </c>
      <c r="E4">
        <f t="shared" si="1"/>
        <v>89.792441140024792</v>
      </c>
    </row>
    <row r="5" spans="1:5" x14ac:dyDescent="0.2">
      <c r="A5" t="s">
        <v>1</v>
      </c>
      <c r="B5">
        <v>5801</v>
      </c>
      <c r="C5">
        <f t="shared" si="0"/>
        <v>25782.222222222223</v>
      </c>
      <c r="E5">
        <f t="shared" si="1"/>
        <v>89.854399008674108</v>
      </c>
    </row>
    <row r="6" spans="1:5" x14ac:dyDescent="0.2">
      <c r="A6" t="s">
        <v>2</v>
      </c>
      <c r="B6">
        <v>5932</v>
      </c>
      <c r="C6">
        <f t="shared" si="0"/>
        <v>26364.444444444445</v>
      </c>
      <c r="E6">
        <f t="shared" si="1"/>
        <v>91.883519206939297</v>
      </c>
    </row>
    <row r="7" spans="1:5" x14ac:dyDescent="0.2">
      <c r="A7" t="s">
        <v>3</v>
      </c>
      <c r="B7">
        <v>5158</v>
      </c>
      <c r="C7">
        <f t="shared" si="0"/>
        <v>22924.444444444445</v>
      </c>
      <c r="E7">
        <f t="shared" si="1"/>
        <v>79.894671623296162</v>
      </c>
    </row>
    <row r="8" spans="1:5" x14ac:dyDescent="0.2">
      <c r="A8" t="s">
        <v>4</v>
      </c>
      <c r="B8">
        <v>3255</v>
      </c>
      <c r="C8">
        <f t="shared" si="0"/>
        <v>14466.666666666668</v>
      </c>
      <c r="E8">
        <f t="shared" si="1"/>
        <v>50.418215613382912</v>
      </c>
    </row>
    <row r="9" spans="1:5" x14ac:dyDescent="0.2">
      <c r="A9" t="s">
        <v>5</v>
      </c>
      <c r="B9">
        <v>4102</v>
      </c>
      <c r="C9">
        <f t="shared" si="0"/>
        <v>18231.111111111113</v>
      </c>
      <c r="E9">
        <f t="shared" si="1"/>
        <v>63.537794299876097</v>
      </c>
    </row>
    <row r="10" spans="1:5" x14ac:dyDescent="0.2">
      <c r="A10" t="s">
        <v>6</v>
      </c>
      <c r="B10">
        <v>2518</v>
      </c>
      <c r="C10">
        <f t="shared" si="0"/>
        <v>11191.111111111111</v>
      </c>
      <c r="E10">
        <f t="shared" si="1"/>
        <v>39.002478314745979</v>
      </c>
    </row>
    <row r="11" spans="1:5" x14ac:dyDescent="0.2">
      <c r="A11" t="s">
        <v>7</v>
      </c>
      <c r="B11">
        <v>1046</v>
      </c>
      <c r="C11">
        <f t="shared" si="0"/>
        <v>4648.8888888888887</v>
      </c>
      <c r="E11">
        <f t="shared" si="1"/>
        <v>16.201982651796779</v>
      </c>
    </row>
    <row r="12" spans="1:5" x14ac:dyDescent="0.2">
      <c r="A12" t="s">
        <v>8</v>
      </c>
      <c r="B12">
        <v>955</v>
      </c>
      <c r="C12">
        <f t="shared" si="0"/>
        <v>4244.4444444444443</v>
      </c>
      <c r="E12">
        <f t="shared" si="1"/>
        <v>14.792441140024785</v>
      </c>
    </row>
    <row r="13" spans="1:5" x14ac:dyDescent="0.2">
      <c r="A13" t="s">
        <v>9</v>
      </c>
      <c r="B13">
        <v>711</v>
      </c>
      <c r="C13">
        <f t="shared" si="0"/>
        <v>3160</v>
      </c>
      <c r="E13">
        <f t="shared" si="1"/>
        <v>11.013011152416357</v>
      </c>
    </row>
    <row r="14" spans="1:5" x14ac:dyDescent="0.2">
      <c r="A14" t="s">
        <v>10</v>
      </c>
      <c r="B14">
        <v>246</v>
      </c>
      <c r="C14">
        <f t="shared" si="0"/>
        <v>1093.3333333333335</v>
      </c>
      <c r="E14">
        <f t="shared" si="1"/>
        <v>3.8104089219330861</v>
      </c>
    </row>
    <row r="15" spans="1:5" x14ac:dyDescent="0.2">
      <c r="A15" t="s">
        <v>11</v>
      </c>
      <c r="B15">
        <v>222</v>
      </c>
      <c r="C15">
        <f t="shared" si="0"/>
        <v>986.66666666666674</v>
      </c>
      <c r="E15">
        <f t="shared" si="1"/>
        <v>3.4386617100371755</v>
      </c>
    </row>
    <row r="16" spans="1:5" x14ac:dyDescent="0.2">
      <c r="A16" t="s">
        <v>12</v>
      </c>
      <c r="B16">
        <v>251</v>
      </c>
      <c r="C16">
        <f t="shared" si="0"/>
        <v>1115.5555555555557</v>
      </c>
      <c r="E16">
        <f t="shared" si="1"/>
        <v>3.8878562577447338</v>
      </c>
    </row>
    <row r="17" spans="1:5" x14ac:dyDescent="0.2">
      <c r="A17" t="s">
        <v>13</v>
      </c>
      <c r="B17">
        <v>66</v>
      </c>
      <c r="C17">
        <f t="shared" si="0"/>
        <v>293.33333333333337</v>
      </c>
      <c r="E17">
        <f t="shared" si="1"/>
        <v>1.0223048327137547</v>
      </c>
    </row>
    <row r="18" spans="1:5" x14ac:dyDescent="0.2">
      <c r="A18" t="s">
        <v>14</v>
      </c>
      <c r="B18">
        <v>71</v>
      </c>
      <c r="C18">
        <f t="shared" si="0"/>
        <v>315.55555555555554</v>
      </c>
      <c r="E18">
        <f t="shared" si="1"/>
        <v>1.0997521685254026</v>
      </c>
    </row>
    <row r="19" spans="1:5" x14ac:dyDescent="0.2">
      <c r="A19" t="s">
        <v>15</v>
      </c>
      <c r="B19">
        <v>67</v>
      </c>
      <c r="C19">
        <f t="shared" si="0"/>
        <v>297.77777777777777</v>
      </c>
      <c r="E19">
        <f t="shared" si="1"/>
        <v>1.0377942998760843</v>
      </c>
    </row>
    <row r="20" spans="1:5" x14ac:dyDescent="0.2">
      <c r="A20" t="s">
        <v>16</v>
      </c>
      <c r="B20">
        <v>60</v>
      </c>
      <c r="C20">
        <f t="shared" si="0"/>
        <v>266.66666666666669</v>
      </c>
      <c r="E20">
        <f t="shared" si="1"/>
        <v>0.92936802973977695</v>
      </c>
    </row>
    <row r="21" spans="1:5" x14ac:dyDescent="0.2">
      <c r="A21" t="s">
        <v>17</v>
      </c>
      <c r="B21">
        <v>32</v>
      </c>
      <c r="C21">
        <f t="shared" si="0"/>
        <v>142.22222222222223</v>
      </c>
      <c r="E21">
        <f t="shared" si="1"/>
        <v>0.49566294919454773</v>
      </c>
    </row>
    <row r="22" spans="1:5" x14ac:dyDescent="0.2">
      <c r="A22" t="s">
        <v>18</v>
      </c>
      <c r="B22">
        <v>45</v>
      </c>
      <c r="C22">
        <f t="shared" si="0"/>
        <v>200</v>
      </c>
      <c r="E22">
        <f t="shared" si="1"/>
        <v>0.69702602230483268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D025-2DC6-5F43-B728-4BBC6182ADBC}">
  <dimension ref="A1:E22"/>
  <sheetViews>
    <sheetView workbookViewId="0">
      <selection activeCell="C2" sqref="C2:C22"/>
    </sheetView>
  </sheetViews>
  <sheetFormatPr baseColWidth="10" defaultRowHeight="16" x14ac:dyDescent="0.2"/>
  <cols>
    <col min="2" max="2" width="13.3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23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5250</v>
      </c>
      <c r="C2">
        <f>((B2*200/50)*(100/90))</f>
        <v>23333.333333333336</v>
      </c>
      <c r="D2">
        <f>AVERAGE(C2:C4)</f>
        <v>22078.518518518522</v>
      </c>
      <c r="E2">
        <f>(C2/$D$2)*100</f>
        <v>105.68341944574917</v>
      </c>
    </row>
    <row r="3" spans="1:5" x14ac:dyDescent="0.2">
      <c r="A3" t="s">
        <v>20</v>
      </c>
      <c r="B3">
        <v>4603</v>
      </c>
      <c r="C3">
        <f t="shared" ref="C3:C22" si="0">((B3*200/50)*(100/90))</f>
        <v>20457.777777777777</v>
      </c>
      <c r="E3">
        <f t="shared" ref="E3:E22" si="1">(C3/$D$2)*100</f>
        <v>92.659196135006354</v>
      </c>
    </row>
    <row r="4" spans="1:5" x14ac:dyDescent="0.2">
      <c r="A4" t="s">
        <v>21</v>
      </c>
      <c r="B4">
        <v>5050</v>
      </c>
      <c r="C4">
        <f t="shared" si="0"/>
        <v>22444.444444444445</v>
      </c>
      <c r="E4">
        <f t="shared" si="1"/>
        <v>101.65738441924444</v>
      </c>
    </row>
    <row r="5" spans="1:5" x14ac:dyDescent="0.2">
      <c r="A5" t="s">
        <v>1</v>
      </c>
      <c r="B5">
        <v>4701</v>
      </c>
      <c r="C5">
        <f t="shared" si="0"/>
        <v>20893.333333333336</v>
      </c>
      <c r="E5">
        <f t="shared" si="1"/>
        <v>94.631953297993689</v>
      </c>
    </row>
    <row r="6" spans="1:5" x14ac:dyDescent="0.2">
      <c r="A6" t="s">
        <v>2</v>
      </c>
      <c r="B6">
        <v>4108</v>
      </c>
      <c r="C6">
        <f t="shared" si="0"/>
        <v>18257.777777777777</v>
      </c>
      <c r="E6">
        <f t="shared" si="1"/>
        <v>82.694759444407154</v>
      </c>
    </row>
    <row r="7" spans="1:5" x14ac:dyDescent="0.2">
      <c r="A7" t="s">
        <v>3</v>
      </c>
      <c r="B7">
        <v>4721</v>
      </c>
      <c r="C7">
        <f t="shared" si="0"/>
        <v>20982.222222222223</v>
      </c>
      <c r="E7">
        <f t="shared" si="1"/>
        <v>95.034556800644154</v>
      </c>
    </row>
    <row r="8" spans="1:5" x14ac:dyDescent="0.2">
      <c r="A8" t="s">
        <v>4</v>
      </c>
      <c r="B8">
        <v>3094</v>
      </c>
      <c r="C8">
        <f t="shared" si="0"/>
        <v>13751.111111111111</v>
      </c>
      <c r="E8">
        <f t="shared" si="1"/>
        <v>62.282761860028167</v>
      </c>
    </row>
    <row r="9" spans="1:5" x14ac:dyDescent="0.2">
      <c r="A9" t="s">
        <v>5</v>
      </c>
      <c r="B9">
        <v>3021</v>
      </c>
      <c r="C9">
        <f t="shared" si="0"/>
        <v>13426.666666666668</v>
      </c>
      <c r="E9">
        <f t="shared" si="1"/>
        <v>60.813259075353955</v>
      </c>
    </row>
    <row r="10" spans="1:5" x14ac:dyDescent="0.2">
      <c r="A10" t="s">
        <v>6</v>
      </c>
      <c r="B10">
        <v>2798</v>
      </c>
      <c r="C10">
        <f t="shared" si="0"/>
        <v>12435.555555555557</v>
      </c>
      <c r="E10">
        <f t="shared" si="1"/>
        <v>56.324230020801181</v>
      </c>
    </row>
    <row r="11" spans="1:5" x14ac:dyDescent="0.2">
      <c r="A11" t="s">
        <v>7</v>
      </c>
      <c r="B11">
        <v>921</v>
      </c>
      <c r="C11">
        <f t="shared" si="0"/>
        <v>4093.3333333333335</v>
      </c>
      <c r="E11">
        <f t="shared" si="1"/>
        <v>18.539891297054282</v>
      </c>
    </row>
    <row r="12" spans="1:5" x14ac:dyDescent="0.2">
      <c r="A12" t="s">
        <v>8</v>
      </c>
      <c r="B12">
        <v>332</v>
      </c>
      <c r="C12">
        <f t="shared" si="0"/>
        <v>1475.5555555555557</v>
      </c>
      <c r="E12">
        <f t="shared" si="1"/>
        <v>6.683218143997852</v>
      </c>
    </row>
    <row r="13" spans="1:5" x14ac:dyDescent="0.2">
      <c r="A13" t="s">
        <v>9</v>
      </c>
      <c r="B13">
        <v>500</v>
      </c>
      <c r="C13">
        <f t="shared" si="0"/>
        <v>2222.2222222222222</v>
      </c>
      <c r="E13">
        <f t="shared" si="1"/>
        <v>10.065087566261825</v>
      </c>
    </row>
    <row r="14" spans="1:5" x14ac:dyDescent="0.2">
      <c r="A14" t="s">
        <v>10</v>
      </c>
      <c r="B14">
        <v>12</v>
      </c>
      <c r="C14">
        <f t="shared" si="0"/>
        <v>53.333333333333336</v>
      </c>
      <c r="E14">
        <f t="shared" si="1"/>
        <v>0.24156210159028382</v>
      </c>
    </row>
    <row r="15" spans="1:5" x14ac:dyDescent="0.2">
      <c r="A15" t="s">
        <v>11</v>
      </c>
      <c r="B15">
        <v>10</v>
      </c>
      <c r="C15">
        <f t="shared" si="0"/>
        <v>44.444444444444443</v>
      </c>
      <c r="E15">
        <f t="shared" si="1"/>
        <v>0.20130175132523648</v>
      </c>
    </row>
    <row r="16" spans="1:5" x14ac:dyDescent="0.2">
      <c r="A16" t="s">
        <v>12</v>
      </c>
      <c r="B16">
        <v>14</v>
      </c>
      <c r="C16">
        <f t="shared" si="0"/>
        <v>62.222222222222229</v>
      </c>
      <c r="E16">
        <f t="shared" si="1"/>
        <v>0.28182245185533111</v>
      </c>
    </row>
    <row r="17" spans="1:5" x14ac:dyDescent="0.2">
      <c r="A17" t="s">
        <v>13</v>
      </c>
      <c r="B17">
        <v>4</v>
      </c>
      <c r="C17">
        <f t="shared" si="0"/>
        <v>17.777777777777779</v>
      </c>
      <c r="E17">
        <f t="shared" si="1"/>
        <v>8.0520700530094608E-2</v>
      </c>
    </row>
    <row r="18" spans="1:5" x14ac:dyDescent="0.2">
      <c r="A18" t="s">
        <v>14</v>
      </c>
      <c r="B18">
        <v>6</v>
      </c>
      <c r="C18">
        <f t="shared" si="0"/>
        <v>26.666666666666668</v>
      </c>
      <c r="E18">
        <f t="shared" si="1"/>
        <v>0.12078105079514191</v>
      </c>
    </row>
    <row r="19" spans="1:5" x14ac:dyDescent="0.2">
      <c r="A19" t="s">
        <v>15</v>
      </c>
      <c r="B19">
        <v>11</v>
      </c>
      <c r="C19">
        <f t="shared" si="0"/>
        <v>48.888888888888893</v>
      </c>
      <c r="E19">
        <f t="shared" si="1"/>
        <v>0.22143192645776016</v>
      </c>
    </row>
    <row r="20" spans="1:5" x14ac:dyDescent="0.2">
      <c r="A20" t="s">
        <v>16</v>
      </c>
      <c r="B20">
        <v>6</v>
      </c>
      <c r="C20">
        <f t="shared" si="0"/>
        <v>26.666666666666668</v>
      </c>
      <c r="E20">
        <f t="shared" si="1"/>
        <v>0.12078105079514191</v>
      </c>
    </row>
    <row r="21" spans="1:5" x14ac:dyDescent="0.2">
      <c r="A21" t="s">
        <v>17</v>
      </c>
      <c r="B21">
        <v>7</v>
      </c>
      <c r="C21">
        <f t="shared" si="0"/>
        <v>31.111111111111114</v>
      </c>
      <c r="E21">
        <f t="shared" si="1"/>
        <v>0.14091122592766556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6.0390525397570956E-2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BDA0-F2D4-B64B-B9EC-428EF885995E}">
  <dimension ref="A1:E22"/>
  <sheetViews>
    <sheetView workbookViewId="0">
      <selection activeCell="C2" sqref="C2:C22"/>
    </sheetView>
  </sheetViews>
  <sheetFormatPr baseColWidth="10" defaultRowHeight="16" x14ac:dyDescent="0.2"/>
  <cols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25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4629</v>
      </c>
      <c r="C2">
        <f>((B2*200/50)*(100/90))</f>
        <v>20573.333333333336</v>
      </c>
      <c r="D2">
        <f>AVERAGE(C2:C4)</f>
        <v>19506.666666666668</v>
      </c>
      <c r="E2">
        <f>(C2/$D$2)*100</f>
        <v>105.4682159945318</v>
      </c>
    </row>
    <row r="3" spans="1:5" x14ac:dyDescent="0.2">
      <c r="A3" t="s">
        <v>20</v>
      </c>
      <c r="B3">
        <v>4146</v>
      </c>
      <c r="C3">
        <f t="shared" ref="C3:C22" si="0">((B3*200/50)*(100/90))</f>
        <v>18426.666666666668</v>
      </c>
      <c r="E3">
        <f t="shared" ref="E3:E22" si="1">(C3/$D$2)*100</f>
        <v>94.463431305536574</v>
      </c>
    </row>
    <row r="4" spans="1:5" x14ac:dyDescent="0.2">
      <c r="A4" t="s">
        <v>21</v>
      </c>
      <c r="B4">
        <v>4392</v>
      </c>
      <c r="C4">
        <f t="shared" si="0"/>
        <v>19520</v>
      </c>
      <c r="E4">
        <f t="shared" si="1"/>
        <v>100.06835269993164</v>
      </c>
    </row>
    <row r="5" spans="1:5" x14ac:dyDescent="0.2">
      <c r="A5" t="s">
        <v>1</v>
      </c>
      <c r="B5">
        <v>4226</v>
      </c>
      <c r="C5">
        <f t="shared" si="0"/>
        <v>18782.222222222223</v>
      </c>
      <c r="E5">
        <f t="shared" si="1"/>
        <v>96.286169970380499</v>
      </c>
    </row>
    <row r="6" spans="1:5" x14ac:dyDescent="0.2">
      <c r="A6" t="s">
        <v>2</v>
      </c>
      <c r="B6">
        <v>3836</v>
      </c>
      <c r="C6">
        <f t="shared" si="0"/>
        <v>17048.888888888891</v>
      </c>
      <c r="E6">
        <f t="shared" si="1"/>
        <v>87.400318979266359</v>
      </c>
    </row>
    <row r="7" spans="1:5" x14ac:dyDescent="0.2">
      <c r="A7" t="s">
        <v>3</v>
      </c>
      <c r="B7">
        <v>4230</v>
      </c>
      <c r="C7">
        <f t="shared" si="0"/>
        <v>18800</v>
      </c>
      <c r="E7">
        <f t="shared" si="1"/>
        <v>96.377306903622681</v>
      </c>
    </row>
    <row r="8" spans="1:5" x14ac:dyDescent="0.2">
      <c r="A8" t="s">
        <v>4</v>
      </c>
      <c r="B8">
        <v>2857</v>
      </c>
      <c r="C8">
        <f t="shared" si="0"/>
        <v>12697.777777777779</v>
      </c>
      <c r="E8">
        <f t="shared" si="1"/>
        <v>65.094554568238777</v>
      </c>
    </row>
    <row r="9" spans="1:5" x14ac:dyDescent="0.2">
      <c r="A9" t="s">
        <v>5</v>
      </c>
      <c r="B9">
        <v>2834</v>
      </c>
      <c r="C9">
        <f t="shared" si="0"/>
        <v>12595.555555555557</v>
      </c>
      <c r="E9">
        <f t="shared" si="1"/>
        <v>64.570517202096156</v>
      </c>
    </row>
    <row r="10" spans="1:5" x14ac:dyDescent="0.2">
      <c r="A10" t="s">
        <v>6</v>
      </c>
      <c r="B10">
        <v>2648</v>
      </c>
      <c r="C10">
        <f t="shared" si="0"/>
        <v>11768.888888888889</v>
      </c>
      <c r="E10">
        <f t="shared" si="1"/>
        <v>60.332649806334018</v>
      </c>
    </row>
    <row r="11" spans="1:5" x14ac:dyDescent="0.2">
      <c r="A11" t="s">
        <v>7</v>
      </c>
      <c r="B11">
        <v>850</v>
      </c>
      <c r="C11">
        <f t="shared" si="0"/>
        <v>3777.7777777777778</v>
      </c>
      <c r="E11">
        <f t="shared" si="1"/>
        <v>19.366598313966733</v>
      </c>
    </row>
    <row r="12" spans="1:5" x14ac:dyDescent="0.2">
      <c r="A12" t="s">
        <v>8</v>
      </c>
      <c r="B12">
        <v>303</v>
      </c>
      <c r="C12">
        <f t="shared" si="0"/>
        <v>1346.6666666666667</v>
      </c>
      <c r="E12">
        <f t="shared" si="1"/>
        <v>6.9036226930963771</v>
      </c>
    </row>
    <row r="13" spans="1:5" x14ac:dyDescent="0.2">
      <c r="A13" t="s">
        <v>9</v>
      </c>
      <c r="B13">
        <v>468</v>
      </c>
      <c r="C13">
        <f t="shared" si="0"/>
        <v>2080</v>
      </c>
      <c r="E13">
        <f t="shared" si="1"/>
        <v>10.663021189336979</v>
      </c>
    </row>
    <row r="14" spans="1:5" x14ac:dyDescent="0.2">
      <c r="A14" t="s">
        <v>10</v>
      </c>
      <c r="B14">
        <v>8</v>
      </c>
      <c r="C14">
        <f t="shared" si="0"/>
        <v>35.555555555555557</v>
      </c>
      <c r="E14">
        <f t="shared" si="1"/>
        <v>0.18227386648439278</v>
      </c>
    </row>
    <row r="15" spans="1:5" x14ac:dyDescent="0.2">
      <c r="A15" t="s">
        <v>11</v>
      </c>
      <c r="B15">
        <v>5</v>
      </c>
      <c r="C15">
        <f t="shared" si="0"/>
        <v>22.222222222222221</v>
      </c>
      <c r="E15">
        <f t="shared" si="1"/>
        <v>0.11392116655274549</v>
      </c>
    </row>
    <row r="16" spans="1:5" x14ac:dyDescent="0.2">
      <c r="A16" t="s">
        <v>12</v>
      </c>
      <c r="B16">
        <v>4</v>
      </c>
      <c r="C16">
        <f t="shared" si="0"/>
        <v>17.777777777777779</v>
      </c>
      <c r="E16">
        <f t="shared" si="1"/>
        <v>9.1136933242196391E-2</v>
      </c>
    </row>
    <row r="17" spans="1:5" x14ac:dyDescent="0.2">
      <c r="A17" t="s">
        <v>13</v>
      </c>
      <c r="B17">
        <v>2</v>
      </c>
      <c r="C17">
        <f t="shared" si="0"/>
        <v>8.8888888888888893</v>
      </c>
      <c r="E17">
        <f t="shared" si="1"/>
        <v>4.5568466621098196E-2</v>
      </c>
    </row>
    <row r="18" spans="1:5" x14ac:dyDescent="0.2">
      <c r="A18" t="s">
        <v>14</v>
      </c>
      <c r="B18">
        <v>3</v>
      </c>
      <c r="C18">
        <f t="shared" si="0"/>
        <v>13.333333333333334</v>
      </c>
      <c r="E18">
        <f t="shared" si="1"/>
        <v>6.835269993164729E-2</v>
      </c>
    </row>
    <row r="19" spans="1:5" x14ac:dyDescent="0.2">
      <c r="A19" t="s">
        <v>15</v>
      </c>
      <c r="B19">
        <v>3</v>
      </c>
      <c r="C19">
        <f t="shared" si="0"/>
        <v>13.333333333333334</v>
      </c>
      <c r="E19">
        <f t="shared" si="1"/>
        <v>6.835269993164729E-2</v>
      </c>
    </row>
    <row r="20" spans="1:5" x14ac:dyDescent="0.2">
      <c r="A20" t="s">
        <v>16</v>
      </c>
      <c r="B20">
        <v>4</v>
      </c>
      <c r="C20">
        <f t="shared" si="0"/>
        <v>17.777777777777779</v>
      </c>
      <c r="E20">
        <f t="shared" si="1"/>
        <v>9.1136933242196391E-2</v>
      </c>
    </row>
    <row r="21" spans="1:5" x14ac:dyDescent="0.2">
      <c r="A21" t="s">
        <v>17</v>
      </c>
      <c r="B21">
        <v>6</v>
      </c>
      <c r="C21">
        <f t="shared" si="0"/>
        <v>26.666666666666668</v>
      </c>
      <c r="E21">
        <f t="shared" si="1"/>
        <v>0.13670539986329458</v>
      </c>
    </row>
    <row r="22" spans="1:5" x14ac:dyDescent="0.2">
      <c r="A22" t="s">
        <v>18</v>
      </c>
      <c r="B22">
        <v>0</v>
      </c>
      <c r="C22">
        <f t="shared" si="0"/>
        <v>0</v>
      </c>
      <c r="E22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7879-1A6B-7F4C-8FB3-5D7F7F90AE7D}">
  <dimension ref="A1:E22"/>
  <sheetViews>
    <sheetView tabSelected="1" workbookViewId="0">
      <selection activeCell="C2" sqref="C2:C22"/>
    </sheetView>
  </sheetViews>
  <sheetFormatPr baseColWidth="10" defaultRowHeight="16" x14ac:dyDescent="0.2"/>
  <cols>
    <col min="2" max="2" width="13.83203125" customWidth="1"/>
    <col min="3" max="3" width="18.33203125" customWidth="1"/>
    <col min="4" max="4" width="22.6640625" customWidth="1"/>
    <col min="5" max="5" width="25.6640625" customWidth="1"/>
  </cols>
  <sheetData>
    <row r="1" spans="1:5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">
      <c r="A2" t="s">
        <v>19</v>
      </c>
      <c r="B2">
        <v>686</v>
      </c>
      <c r="C2">
        <f>((B2*200/50)*(100/90))</f>
        <v>3048.8888888888891</v>
      </c>
      <c r="D2">
        <f>AVERAGE(C2:C4)</f>
        <v>2874.0740740740744</v>
      </c>
      <c r="E2">
        <f>(C2/$D$2)*100</f>
        <v>106.08247422680412</v>
      </c>
    </row>
    <row r="3" spans="1:5" x14ac:dyDescent="0.2">
      <c r="A3" t="s">
        <v>20</v>
      </c>
      <c r="B3">
        <v>526</v>
      </c>
      <c r="C3">
        <f t="shared" ref="C3:C22" si="0">((B3*200/50)*(100/90))</f>
        <v>2337.7777777777778</v>
      </c>
      <c r="E3">
        <f t="shared" ref="E3:E22" si="1">(C3/$D$2)*100</f>
        <v>81.340206185566998</v>
      </c>
    </row>
    <row r="4" spans="1:5" x14ac:dyDescent="0.2">
      <c r="A4" t="s">
        <v>21</v>
      </c>
      <c r="B4">
        <v>728</v>
      </c>
      <c r="C4">
        <f t="shared" si="0"/>
        <v>3235.5555555555557</v>
      </c>
      <c r="E4">
        <f t="shared" si="1"/>
        <v>112.57731958762886</v>
      </c>
    </row>
    <row r="5" spans="1:5" x14ac:dyDescent="0.2">
      <c r="A5" t="s">
        <v>1</v>
      </c>
      <c r="B5">
        <v>518</v>
      </c>
      <c r="C5">
        <f t="shared" si="0"/>
        <v>2302.2222222222222</v>
      </c>
      <c r="E5">
        <f t="shared" si="1"/>
        <v>80.103092783505147</v>
      </c>
    </row>
    <row r="6" spans="1:5" x14ac:dyDescent="0.2">
      <c r="A6" t="s">
        <v>2</v>
      </c>
      <c r="B6">
        <v>328</v>
      </c>
      <c r="C6">
        <f t="shared" si="0"/>
        <v>1457.7777777777778</v>
      </c>
      <c r="E6">
        <f t="shared" si="1"/>
        <v>50.72164948453608</v>
      </c>
    </row>
    <row r="7" spans="1:5" x14ac:dyDescent="0.2">
      <c r="A7" t="s">
        <v>3</v>
      </c>
      <c r="B7">
        <v>564</v>
      </c>
      <c r="C7">
        <f t="shared" si="0"/>
        <v>2506.666666666667</v>
      </c>
      <c r="E7">
        <f t="shared" si="1"/>
        <v>87.216494845360828</v>
      </c>
    </row>
    <row r="8" spans="1:5" x14ac:dyDescent="0.2">
      <c r="A8" t="s">
        <v>4</v>
      </c>
      <c r="B8">
        <v>273</v>
      </c>
      <c r="C8">
        <f t="shared" si="0"/>
        <v>1213.3333333333335</v>
      </c>
      <c r="E8">
        <f t="shared" si="1"/>
        <v>42.216494845360828</v>
      </c>
    </row>
    <row r="9" spans="1:5" x14ac:dyDescent="0.2">
      <c r="A9" t="s">
        <v>5</v>
      </c>
      <c r="B9">
        <v>220</v>
      </c>
      <c r="C9">
        <f t="shared" si="0"/>
        <v>977.77777777777783</v>
      </c>
      <c r="E9">
        <f t="shared" si="1"/>
        <v>34.020618556701024</v>
      </c>
    </row>
    <row r="10" spans="1:5" x14ac:dyDescent="0.2">
      <c r="A10" t="s">
        <v>6</v>
      </c>
      <c r="B10">
        <v>205</v>
      </c>
      <c r="C10">
        <f t="shared" si="0"/>
        <v>911.1111111111112</v>
      </c>
      <c r="E10">
        <f t="shared" si="1"/>
        <v>31.701030927835049</v>
      </c>
    </row>
    <row r="11" spans="1:5" x14ac:dyDescent="0.2">
      <c r="A11" t="s">
        <v>7</v>
      </c>
      <c r="B11">
        <v>78</v>
      </c>
      <c r="C11">
        <f t="shared" si="0"/>
        <v>346.66666666666669</v>
      </c>
      <c r="E11">
        <f t="shared" si="1"/>
        <v>12.061855670103091</v>
      </c>
    </row>
    <row r="12" spans="1:5" x14ac:dyDescent="0.2">
      <c r="A12" t="s">
        <v>8</v>
      </c>
      <c r="B12">
        <v>41</v>
      </c>
      <c r="C12">
        <f t="shared" si="0"/>
        <v>182.22222222222223</v>
      </c>
      <c r="E12">
        <f t="shared" si="1"/>
        <v>6.34020618556701</v>
      </c>
    </row>
    <row r="13" spans="1:5" x14ac:dyDescent="0.2">
      <c r="A13" t="s">
        <v>9</v>
      </c>
      <c r="B13">
        <v>47</v>
      </c>
      <c r="C13">
        <f t="shared" si="0"/>
        <v>208.88888888888889</v>
      </c>
      <c r="E13">
        <f t="shared" si="1"/>
        <v>7.2680412371134011</v>
      </c>
    </row>
    <row r="14" spans="1:5" x14ac:dyDescent="0.2">
      <c r="A14" t="s">
        <v>10</v>
      </c>
      <c r="B14">
        <v>4</v>
      </c>
      <c r="C14">
        <f t="shared" si="0"/>
        <v>17.777777777777779</v>
      </c>
      <c r="E14">
        <f t="shared" si="1"/>
        <v>0.61855670103092786</v>
      </c>
    </row>
    <row r="15" spans="1:5" x14ac:dyDescent="0.2">
      <c r="A15" t="s">
        <v>11</v>
      </c>
      <c r="B15">
        <v>5</v>
      </c>
      <c r="C15">
        <f t="shared" si="0"/>
        <v>22.222222222222221</v>
      </c>
      <c r="E15">
        <f t="shared" si="1"/>
        <v>0.7731958762886596</v>
      </c>
    </row>
    <row r="16" spans="1:5" x14ac:dyDescent="0.2">
      <c r="A16" t="s">
        <v>12</v>
      </c>
      <c r="B16">
        <v>10</v>
      </c>
      <c r="C16">
        <f t="shared" si="0"/>
        <v>44.444444444444443</v>
      </c>
      <c r="E16">
        <f t="shared" si="1"/>
        <v>1.5463917525773192</v>
      </c>
    </row>
    <row r="17" spans="1:5" x14ac:dyDescent="0.2">
      <c r="A17" t="s">
        <v>13</v>
      </c>
      <c r="B17">
        <v>3</v>
      </c>
      <c r="C17">
        <f t="shared" si="0"/>
        <v>13.333333333333334</v>
      </c>
      <c r="E17">
        <f t="shared" si="1"/>
        <v>0.46391752577319589</v>
      </c>
    </row>
    <row r="18" spans="1:5" x14ac:dyDescent="0.2">
      <c r="A18" t="s">
        <v>14</v>
      </c>
      <c r="B18">
        <v>5</v>
      </c>
      <c r="C18">
        <f t="shared" si="0"/>
        <v>22.222222222222221</v>
      </c>
      <c r="E18">
        <f t="shared" si="1"/>
        <v>0.7731958762886596</v>
      </c>
    </row>
    <row r="19" spans="1:5" x14ac:dyDescent="0.2">
      <c r="A19" t="s">
        <v>15</v>
      </c>
      <c r="B19">
        <v>9</v>
      </c>
      <c r="C19">
        <f t="shared" si="0"/>
        <v>40</v>
      </c>
      <c r="E19">
        <f t="shared" si="1"/>
        <v>1.3917525773195876</v>
      </c>
    </row>
    <row r="20" spans="1:5" x14ac:dyDescent="0.2">
      <c r="A20" t="s">
        <v>16</v>
      </c>
      <c r="B20">
        <v>3</v>
      </c>
      <c r="C20">
        <f t="shared" si="0"/>
        <v>13.333333333333334</v>
      </c>
      <c r="E20">
        <f t="shared" si="1"/>
        <v>0.46391752577319589</v>
      </c>
    </row>
    <row r="21" spans="1:5" x14ac:dyDescent="0.2">
      <c r="A21" t="s">
        <v>17</v>
      </c>
      <c r="B21">
        <v>3</v>
      </c>
      <c r="C21">
        <f t="shared" si="0"/>
        <v>13.333333333333334</v>
      </c>
      <c r="E21">
        <f t="shared" si="1"/>
        <v>0.46391752577319589</v>
      </c>
    </row>
    <row r="22" spans="1:5" x14ac:dyDescent="0.2">
      <c r="A22" t="s">
        <v>18</v>
      </c>
      <c r="B22">
        <v>3</v>
      </c>
      <c r="C22">
        <f t="shared" si="0"/>
        <v>13.333333333333334</v>
      </c>
      <c r="E22">
        <f t="shared" si="1"/>
        <v>0.46391752577319589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Live cells</vt:lpstr>
      <vt:lpstr>CD34-</vt:lpstr>
      <vt:lpstr>CD15+CD34-</vt:lpstr>
      <vt:lpstr>CD34+</vt:lpstr>
      <vt:lpstr>CD34+CD38+</vt:lpstr>
      <vt:lpstr>CD34+CD38-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2024-01-22T15:48:31Z</dcterms:created>
  <dcterms:modified xsi:type="dcterms:W3CDTF">2024-01-30T17:35:09Z</dcterms:modified>
</cp:coreProperties>
</file>