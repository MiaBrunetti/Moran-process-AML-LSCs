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iasenza/Documents/PhD Winter 2022/II 2024-01-10 8227 P6 enriched_DR AraC_trial 1_GOOD/"/>
    </mc:Choice>
  </mc:AlternateContent>
  <xr:revisionPtr revIDLastSave="0" documentId="13_ncr:1_{270002B5-CAA6-D148-8CF4-5181A6EE02D3}" xr6:coauthVersionLast="47" xr6:coauthVersionMax="47" xr10:uidLastSave="{00000000-0000-0000-0000-000000000000}"/>
  <bookViews>
    <workbookView xWindow="0" yWindow="500" windowWidth="28420" windowHeight="16100" activeTab="6" xr2:uid="{15400350-3218-1245-8FFA-99667100601B}"/>
  </bookViews>
  <sheets>
    <sheet name="Raw data" sheetId="1" r:id="rId1"/>
    <sheet name="Live cells" sheetId="2" r:id="rId2"/>
    <sheet name="CD34-" sheetId="3" r:id="rId3"/>
    <sheet name="CD15+CD34-" sheetId="4" r:id="rId4"/>
    <sheet name="CD34+" sheetId="5" r:id="rId5"/>
    <sheet name="CD34+CD38+" sheetId="6" r:id="rId6"/>
    <sheet name="CD34+CD38-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2" i="6" s="1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D2" i="7"/>
  <c r="E20" i="7" s="1"/>
  <c r="C2" i="7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E19" i="7" l="1"/>
  <c r="E11" i="7"/>
  <c r="E4" i="7"/>
  <c r="E3" i="7"/>
  <c r="E7" i="7"/>
  <c r="E15" i="7"/>
  <c r="E5" i="7"/>
  <c r="E9" i="7"/>
  <c r="E13" i="7"/>
  <c r="E17" i="7"/>
  <c r="E21" i="7"/>
  <c r="D2" i="4"/>
  <c r="E8" i="4" s="1"/>
  <c r="E22" i="6"/>
  <c r="E20" i="6"/>
  <c r="E18" i="6"/>
  <c r="E16" i="6"/>
  <c r="E14" i="6"/>
  <c r="E12" i="6"/>
  <c r="E10" i="6"/>
  <c r="E8" i="6"/>
  <c r="E6" i="6"/>
  <c r="E4" i="6"/>
  <c r="E2" i="6"/>
  <c r="E3" i="6"/>
  <c r="E7" i="6"/>
  <c r="E11" i="6"/>
  <c r="E15" i="6"/>
  <c r="E19" i="6"/>
  <c r="E18" i="4"/>
  <c r="E5" i="6"/>
  <c r="E9" i="6"/>
  <c r="E13" i="6"/>
  <c r="E17" i="6"/>
  <c r="E21" i="6"/>
  <c r="E2" i="7"/>
  <c r="E8" i="7"/>
  <c r="E18" i="7"/>
  <c r="D2" i="5"/>
  <c r="E6" i="7"/>
  <c r="E10" i="7"/>
  <c r="E14" i="7"/>
  <c r="E16" i="7"/>
  <c r="E22" i="7"/>
  <c r="D2" i="3"/>
  <c r="E22" i="3" s="1"/>
  <c r="E12" i="7"/>
  <c r="E3" i="4" l="1"/>
  <c r="E19" i="4"/>
  <c r="E16" i="4"/>
  <c r="E10" i="4"/>
  <c r="E7" i="4"/>
  <c r="E15" i="4"/>
  <c r="E4" i="4"/>
  <c r="E22" i="4"/>
  <c r="E6" i="4"/>
  <c r="E9" i="4"/>
  <c r="E17" i="4"/>
  <c r="E11" i="4"/>
  <c r="E20" i="4"/>
  <c r="E2" i="4"/>
  <c r="E14" i="4"/>
  <c r="E5" i="4"/>
  <c r="E13" i="4"/>
  <c r="E21" i="4"/>
  <c r="E12" i="4"/>
  <c r="E21" i="5"/>
  <c r="E19" i="5"/>
  <c r="E17" i="5"/>
  <c r="E15" i="5"/>
  <c r="E13" i="5"/>
  <c r="E11" i="5"/>
  <c r="E9" i="5"/>
  <c r="E7" i="5"/>
  <c r="E5" i="5"/>
  <c r="E3" i="5"/>
  <c r="E22" i="5"/>
  <c r="E20" i="5"/>
  <c r="E18" i="5"/>
  <c r="E16" i="5"/>
  <c r="E14" i="5"/>
  <c r="E12" i="5"/>
  <c r="E10" i="5"/>
  <c r="E8" i="5"/>
  <c r="E6" i="5"/>
  <c r="E4" i="5"/>
  <c r="E20" i="3"/>
  <c r="E18" i="3"/>
  <c r="E16" i="3"/>
  <c r="E14" i="3"/>
  <c r="E12" i="3"/>
  <c r="E10" i="3"/>
  <c r="E8" i="3"/>
  <c r="E6" i="3"/>
  <c r="E4" i="3"/>
  <c r="E19" i="3"/>
  <c r="E17" i="3"/>
  <c r="E15" i="3"/>
  <c r="E13" i="3"/>
  <c r="E11" i="3"/>
  <c r="E9" i="3"/>
  <c r="E7" i="3"/>
  <c r="E5" i="3"/>
  <c r="E3" i="3"/>
  <c r="E2" i="3"/>
  <c r="E21" i="3"/>
  <c r="E2" i="5"/>
</calcChain>
</file>

<file path=xl/sharedStrings.xml><?xml version="1.0" encoding="utf-8"?>
<sst xmlns="http://schemas.openxmlformats.org/spreadsheetml/2006/main" count="184" uniqueCount="31">
  <si>
    <t>Sample:</t>
  </si>
  <si>
    <t>1 nM AraC_B3_B03_004.fcs</t>
  </si>
  <si>
    <t>1 nM AraC_C3_C03_005.fcs</t>
  </si>
  <si>
    <t>1 nM AraC_D3_D03_006.fcs</t>
  </si>
  <si>
    <t>5 nM AraC_B4_B04_007.fcs</t>
  </si>
  <si>
    <t>5 nM AraC_C4_C04_008.fcs</t>
  </si>
  <si>
    <t>5 nM AraC_D4_D04_009.fcs</t>
  </si>
  <si>
    <t>25 nM AraC_B5_B05_010.fcs</t>
  </si>
  <si>
    <t>25 nM AraC_C5_C05_011.fcs</t>
  </si>
  <si>
    <t>25 nM AraC_D5_D05_012.fcs</t>
  </si>
  <si>
    <t>125 nM AraC_B6_B06_013.fcs</t>
  </si>
  <si>
    <t>125 nM AraC_C6_C06_014.fcs</t>
  </si>
  <si>
    <t>125 nM AraC_D6_D06_015.fcs</t>
  </si>
  <si>
    <t>625 nM AraC_B7_B07_016.fcs</t>
  </si>
  <si>
    <t>625 nM AraC_C7_C07_017.fcs</t>
  </si>
  <si>
    <t>625 nM AraC_D7_D07_018.fcs</t>
  </si>
  <si>
    <t>1000 nM AraC_B8_B08_019.fcs</t>
  </si>
  <si>
    <t>1000 nM AraC_C8_C08_020.fcs</t>
  </si>
  <si>
    <t>1000 nM AraC_D8_D08_021.fcs</t>
  </si>
  <si>
    <t>DMSO_8227_B2_B02_001.fcs</t>
  </si>
  <si>
    <t>DMSO_8227_C2_C02_002.fcs</t>
  </si>
  <si>
    <t>DMSO_8227_D2_D02_003.fcs</t>
  </si>
  <si>
    <t>LIVE CELLS</t>
  </si>
  <si>
    <t>CD15+CD34-</t>
  </si>
  <si>
    <t>CD34+</t>
  </si>
  <si>
    <t>CD34-</t>
  </si>
  <si>
    <t>CD34+CD38+</t>
  </si>
  <si>
    <t>CD34+CD38-</t>
  </si>
  <si>
    <t>adjusted cell count</t>
  </si>
  <si>
    <t>DMSO control average</t>
  </si>
  <si>
    <t>% cells normalized to 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</si>
</sst>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B858-542E-D945-AF50-84E1B5BBC737}">
  <dimension ref="A1:G22"/>
  <sheetViews>
    <sheetView workbookViewId="0">
      <selection activeCell="G1" sqref="G1:G1048576"/>
    </sheetView>
  </sheetViews>
  <sheetFormatPr baseColWidth="10" defaultRowHeight="16" x14ac:dyDescent="0.2"/>
  <sheetData>
    <row r="1" spans="1:7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2">
      <c r="A2" t="s">
        <v>19</v>
      </c>
      <c r="B2">
        <v>32548</v>
      </c>
      <c r="C2">
        <v>7199</v>
      </c>
      <c r="D2">
        <v>4416</v>
      </c>
      <c r="E2">
        <v>27485</v>
      </c>
      <c r="F2">
        <v>2661</v>
      </c>
      <c r="G2">
        <v>1808</v>
      </c>
    </row>
    <row r="3" spans="1:7" x14ac:dyDescent="0.2">
      <c r="A3" t="s">
        <v>20</v>
      </c>
      <c r="B3">
        <v>33315</v>
      </c>
      <c r="C3">
        <v>6897</v>
      </c>
      <c r="D3">
        <v>4244</v>
      </c>
      <c r="E3">
        <v>28361</v>
      </c>
      <c r="F3">
        <v>2763</v>
      </c>
      <c r="G3">
        <v>1537</v>
      </c>
    </row>
    <row r="4" spans="1:7" x14ac:dyDescent="0.2">
      <c r="A4" t="s">
        <v>21</v>
      </c>
      <c r="B4">
        <v>33433</v>
      </c>
      <c r="C4">
        <v>7871</v>
      </c>
      <c r="D4">
        <v>4208</v>
      </c>
      <c r="E4">
        <v>28549</v>
      </c>
      <c r="F4">
        <v>2525</v>
      </c>
      <c r="G4">
        <v>1740</v>
      </c>
    </row>
    <row r="5" spans="1:7" x14ac:dyDescent="0.2">
      <c r="A5" t="s">
        <v>1</v>
      </c>
      <c r="B5">
        <v>31425</v>
      </c>
      <c r="C5">
        <v>7157</v>
      </c>
      <c r="D5">
        <v>3477</v>
      </c>
      <c r="E5">
        <v>27484</v>
      </c>
      <c r="F5">
        <v>2408</v>
      </c>
      <c r="G5">
        <v>1107</v>
      </c>
    </row>
    <row r="6" spans="1:7" x14ac:dyDescent="0.2">
      <c r="A6" t="s">
        <v>2</v>
      </c>
      <c r="B6">
        <v>31227</v>
      </c>
      <c r="C6">
        <v>7499</v>
      </c>
      <c r="D6">
        <v>4249</v>
      </c>
      <c r="E6">
        <v>26375</v>
      </c>
      <c r="F6">
        <v>2594</v>
      </c>
      <c r="G6">
        <v>1700</v>
      </c>
    </row>
    <row r="7" spans="1:7" x14ac:dyDescent="0.2">
      <c r="A7" t="s">
        <v>3</v>
      </c>
      <c r="B7">
        <v>31727</v>
      </c>
      <c r="C7">
        <v>6810</v>
      </c>
      <c r="D7">
        <v>4004</v>
      </c>
      <c r="E7">
        <v>27025</v>
      </c>
      <c r="F7">
        <v>2507</v>
      </c>
      <c r="G7">
        <v>1560</v>
      </c>
    </row>
    <row r="8" spans="1:7" x14ac:dyDescent="0.2">
      <c r="A8" t="s">
        <v>4</v>
      </c>
      <c r="B8">
        <v>27238</v>
      </c>
      <c r="C8">
        <v>3848</v>
      </c>
      <c r="D8">
        <v>2910</v>
      </c>
      <c r="E8">
        <v>23913</v>
      </c>
      <c r="F8">
        <v>2150</v>
      </c>
      <c r="G8">
        <v>785</v>
      </c>
    </row>
    <row r="9" spans="1:7" x14ac:dyDescent="0.2">
      <c r="A9" t="s">
        <v>5</v>
      </c>
      <c r="B9">
        <v>27044</v>
      </c>
      <c r="C9">
        <v>4654</v>
      </c>
      <c r="D9">
        <v>3284</v>
      </c>
      <c r="E9">
        <v>23337</v>
      </c>
      <c r="F9">
        <v>2379</v>
      </c>
      <c r="G9">
        <v>929</v>
      </c>
    </row>
    <row r="10" spans="1:7" x14ac:dyDescent="0.2">
      <c r="A10" t="s">
        <v>6</v>
      </c>
      <c r="B10">
        <v>22284</v>
      </c>
      <c r="C10">
        <v>3403</v>
      </c>
      <c r="D10">
        <v>2422</v>
      </c>
      <c r="E10">
        <v>19521</v>
      </c>
      <c r="F10">
        <v>1728</v>
      </c>
      <c r="G10">
        <v>713</v>
      </c>
    </row>
    <row r="11" spans="1:7" x14ac:dyDescent="0.2">
      <c r="A11" t="s">
        <v>7</v>
      </c>
      <c r="B11">
        <v>11340</v>
      </c>
      <c r="C11">
        <v>872</v>
      </c>
      <c r="D11">
        <v>688</v>
      </c>
      <c r="E11">
        <v>10563</v>
      </c>
      <c r="F11">
        <v>508</v>
      </c>
      <c r="G11">
        <v>184</v>
      </c>
    </row>
    <row r="12" spans="1:7" x14ac:dyDescent="0.2">
      <c r="A12" t="s">
        <v>8</v>
      </c>
      <c r="B12">
        <v>12185</v>
      </c>
      <c r="C12">
        <v>1065</v>
      </c>
      <c r="D12">
        <v>693</v>
      </c>
      <c r="E12">
        <v>11346</v>
      </c>
      <c r="F12">
        <v>535</v>
      </c>
      <c r="G12">
        <v>162</v>
      </c>
    </row>
    <row r="13" spans="1:7" x14ac:dyDescent="0.2">
      <c r="A13" t="s">
        <v>9</v>
      </c>
      <c r="B13">
        <v>8408</v>
      </c>
      <c r="C13">
        <v>678</v>
      </c>
      <c r="D13">
        <v>540</v>
      </c>
      <c r="E13">
        <v>7807</v>
      </c>
      <c r="F13">
        <v>391</v>
      </c>
      <c r="G13">
        <v>154</v>
      </c>
    </row>
    <row r="14" spans="1:7" x14ac:dyDescent="0.2">
      <c r="A14" t="s">
        <v>10</v>
      </c>
      <c r="B14">
        <v>1236</v>
      </c>
      <c r="C14">
        <v>129</v>
      </c>
      <c r="D14">
        <v>15</v>
      </c>
      <c r="E14">
        <v>1200</v>
      </c>
      <c r="F14">
        <v>3</v>
      </c>
      <c r="G14">
        <v>12</v>
      </c>
    </row>
    <row r="15" spans="1:7" x14ac:dyDescent="0.2">
      <c r="A15" t="s">
        <v>11</v>
      </c>
      <c r="B15">
        <v>829</v>
      </c>
      <c r="C15">
        <v>92</v>
      </c>
      <c r="D15">
        <v>11</v>
      </c>
      <c r="E15">
        <v>798</v>
      </c>
      <c r="F15">
        <v>9</v>
      </c>
      <c r="G15">
        <v>2</v>
      </c>
    </row>
    <row r="16" spans="1:7" x14ac:dyDescent="0.2">
      <c r="A16" t="s">
        <v>12</v>
      </c>
      <c r="B16">
        <v>1254</v>
      </c>
      <c r="C16">
        <v>117</v>
      </c>
      <c r="D16">
        <v>15</v>
      </c>
      <c r="E16">
        <v>1225</v>
      </c>
      <c r="F16">
        <v>7</v>
      </c>
      <c r="G16">
        <v>8</v>
      </c>
    </row>
    <row r="17" spans="1:7" x14ac:dyDescent="0.2">
      <c r="A17" t="s">
        <v>13</v>
      </c>
      <c r="B17">
        <v>246</v>
      </c>
      <c r="C17">
        <v>10</v>
      </c>
      <c r="D17">
        <v>3</v>
      </c>
      <c r="E17">
        <v>236</v>
      </c>
      <c r="F17">
        <v>1</v>
      </c>
      <c r="G17">
        <v>3</v>
      </c>
    </row>
    <row r="18" spans="1:7" x14ac:dyDescent="0.2">
      <c r="A18" t="s">
        <v>14</v>
      </c>
      <c r="B18">
        <v>226</v>
      </c>
      <c r="C18">
        <v>11</v>
      </c>
      <c r="D18">
        <v>1</v>
      </c>
      <c r="E18">
        <v>219</v>
      </c>
      <c r="F18">
        <v>0</v>
      </c>
      <c r="G18">
        <v>1</v>
      </c>
    </row>
    <row r="19" spans="1:7" x14ac:dyDescent="0.2">
      <c r="A19" t="s">
        <v>15</v>
      </c>
      <c r="B19">
        <v>255</v>
      </c>
      <c r="C19">
        <v>6</v>
      </c>
      <c r="D19">
        <v>4</v>
      </c>
      <c r="E19">
        <v>235</v>
      </c>
      <c r="F19">
        <v>0</v>
      </c>
      <c r="G19">
        <v>4</v>
      </c>
    </row>
    <row r="20" spans="1:7" x14ac:dyDescent="0.2">
      <c r="A20" t="s">
        <v>16</v>
      </c>
      <c r="B20">
        <v>170</v>
      </c>
      <c r="C20">
        <v>5</v>
      </c>
      <c r="D20">
        <v>3</v>
      </c>
      <c r="E20">
        <v>162</v>
      </c>
      <c r="F20">
        <v>1</v>
      </c>
      <c r="G20">
        <v>2</v>
      </c>
    </row>
    <row r="21" spans="1:7" x14ac:dyDescent="0.2">
      <c r="A21" t="s">
        <v>17</v>
      </c>
      <c r="B21">
        <v>177</v>
      </c>
      <c r="C21">
        <v>6</v>
      </c>
      <c r="D21">
        <v>2</v>
      </c>
      <c r="E21">
        <v>172</v>
      </c>
      <c r="F21">
        <v>3</v>
      </c>
      <c r="G21">
        <v>0</v>
      </c>
    </row>
    <row r="22" spans="1:7" x14ac:dyDescent="0.2">
      <c r="A22" t="s">
        <v>18</v>
      </c>
      <c r="B22">
        <v>152</v>
      </c>
      <c r="C22">
        <v>11</v>
      </c>
      <c r="D22">
        <v>5</v>
      </c>
      <c r="E22">
        <v>141</v>
      </c>
      <c r="F22">
        <v>2</v>
      </c>
      <c r="G2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A7C9-4E9E-2D47-928E-A5A2FFC6AE3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22</v>
      </c>
      <c r="C1" t="s">
        <v>28</v>
      </c>
      <c r="D1" t="s">
        <v>29</v>
      </c>
      <c r="E1" t="s">
        <v>30</v>
      </c>
    </row>
    <row r="2" spans="1:5" x14ac:dyDescent="0.2">
      <c r="A2" t="s">
        <v>19</v>
      </c>
      <c r="B2">
        <v>32548</v>
      </c>
      <c r="C2">
        <f>((B2*200/50)*(100/90))</f>
        <v>144657.77777777778</v>
      </c>
      <c r="D2">
        <f>AVERAGE(C2:C4)</f>
        <v>147105.1851851852</v>
      </c>
      <c r="E2">
        <f>(C2/$D$2)*100</f>
        <v>98.336287463744753</v>
      </c>
    </row>
    <row r="3" spans="1:5" x14ac:dyDescent="0.2">
      <c r="A3" t="s">
        <v>20</v>
      </c>
      <c r="B3">
        <v>33315</v>
      </c>
      <c r="C3">
        <f t="shared" ref="C3:C22" si="0">((B3*200/50)*(100/90))</f>
        <v>148066.66666666669</v>
      </c>
      <c r="E3">
        <f t="shared" ref="E3:E22" si="1">(C3/$D$2)*100</f>
        <v>100.65360135352886</v>
      </c>
    </row>
    <row r="4" spans="1:5" x14ac:dyDescent="0.2">
      <c r="A4" t="s">
        <v>21</v>
      </c>
      <c r="B4">
        <v>33433</v>
      </c>
      <c r="C4">
        <f t="shared" si="0"/>
        <v>148591.11111111112</v>
      </c>
      <c r="E4">
        <f t="shared" si="1"/>
        <v>101.0101111827264</v>
      </c>
    </row>
    <row r="5" spans="1:5" x14ac:dyDescent="0.2">
      <c r="A5" t="s">
        <v>1</v>
      </c>
      <c r="B5">
        <v>31425</v>
      </c>
      <c r="C5">
        <f t="shared" si="0"/>
        <v>139666.66666666669</v>
      </c>
      <c r="E5">
        <f t="shared" si="1"/>
        <v>94.943401546890115</v>
      </c>
    </row>
    <row r="6" spans="1:5" x14ac:dyDescent="0.2">
      <c r="A6" t="s">
        <v>2</v>
      </c>
      <c r="B6">
        <v>31227</v>
      </c>
      <c r="C6">
        <f t="shared" si="0"/>
        <v>138786.66666666669</v>
      </c>
      <c r="E6">
        <f t="shared" si="1"/>
        <v>94.345190138575575</v>
      </c>
    </row>
    <row r="7" spans="1:5" x14ac:dyDescent="0.2">
      <c r="A7" t="s">
        <v>3</v>
      </c>
      <c r="B7">
        <v>31727</v>
      </c>
      <c r="C7">
        <f t="shared" si="0"/>
        <v>141008.88888888891</v>
      </c>
      <c r="E7">
        <f t="shared" si="1"/>
        <v>95.855825008056726</v>
      </c>
    </row>
    <row r="8" spans="1:5" x14ac:dyDescent="0.2">
      <c r="A8" t="s">
        <v>4</v>
      </c>
      <c r="B8">
        <v>27238</v>
      </c>
      <c r="C8">
        <f t="shared" si="0"/>
        <v>121057.77777777778</v>
      </c>
      <c r="E8">
        <f t="shared" si="1"/>
        <v>82.293345149854986</v>
      </c>
    </row>
    <row r="9" spans="1:5" x14ac:dyDescent="0.2">
      <c r="A9" t="s">
        <v>5</v>
      </c>
      <c r="B9">
        <v>27044</v>
      </c>
      <c r="C9">
        <f t="shared" si="0"/>
        <v>120195.55555555556</v>
      </c>
      <c r="E9">
        <f t="shared" si="1"/>
        <v>81.707218820496294</v>
      </c>
    </row>
    <row r="10" spans="1:5" x14ac:dyDescent="0.2">
      <c r="A10" t="s">
        <v>6</v>
      </c>
      <c r="B10">
        <v>22284</v>
      </c>
      <c r="C10">
        <f t="shared" si="0"/>
        <v>99040</v>
      </c>
      <c r="E10">
        <f t="shared" si="1"/>
        <v>67.325974863035768</v>
      </c>
    </row>
    <row r="11" spans="1:5" x14ac:dyDescent="0.2">
      <c r="A11" t="s">
        <v>7</v>
      </c>
      <c r="B11">
        <v>11340</v>
      </c>
      <c r="C11">
        <f t="shared" si="0"/>
        <v>50400</v>
      </c>
      <c r="E11">
        <f t="shared" si="1"/>
        <v>34.261198839832417</v>
      </c>
    </row>
    <row r="12" spans="1:5" x14ac:dyDescent="0.2">
      <c r="A12" t="s">
        <v>8</v>
      </c>
      <c r="B12">
        <v>12185</v>
      </c>
      <c r="C12">
        <f t="shared" si="0"/>
        <v>54155.555555555555</v>
      </c>
      <c r="E12">
        <f t="shared" si="1"/>
        <v>36.814171769255552</v>
      </c>
    </row>
    <row r="13" spans="1:5" x14ac:dyDescent="0.2">
      <c r="A13" t="s">
        <v>9</v>
      </c>
      <c r="B13">
        <v>8408</v>
      </c>
      <c r="C13">
        <f t="shared" si="0"/>
        <v>37368.888888888891</v>
      </c>
      <c r="E13">
        <f t="shared" si="1"/>
        <v>25.402835965194971</v>
      </c>
    </row>
    <row r="14" spans="1:5" x14ac:dyDescent="0.2">
      <c r="A14" t="s">
        <v>10</v>
      </c>
      <c r="B14">
        <v>1236</v>
      </c>
      <c r="C14">
        <f t="shared" si="0"/>
        <v>5493.3333333333339</v>
      </c>
      <c r="E14">
        <f t="shared" si="1"/>
        <v>3.7342893973573958</v>
      </c>
    </row>
    <row r="15" spans="1:5" x14ac:dyDescent="0.2">
      <c r="A15" t="s">
        <v>11</v>
      </c>
      <c r="B15">
        <v>829</v>
      </c>
      <c r="C15">
        <f t="shared" si="0"/>
        <v>3684.4444444444448</v>
      </c>
      <c r="E15">
        <f t="shared" si="1"/>
        <v>2.5046326135997421</v>
      </c>
    </row>
    <row r="16" spans="1:5" x14ac:dyDescent="0.2">
      <c r="A16" t="s">
        <v>12</v>
      </c>
      <c r="B16">
        <v>1254</v>
      </c>
      <c r="C16">
        <f t="shared" si="0"/>
        <v>5573.3333333333339</v>
      </c>
      <c r="E16">
        <f t="shared" si="1"/>
        <v>3.7886722526587175</v>
      </c>
    </row>
    <row r="17" spans="1:5" x14ac:dyDescent="0.2">
      <c r="A17" t="s">
        <v>13</v>
      </c>
      <c r="B17">
        <v>246</v>
      </c>
      <c r="C17">
        <f t="shared" si="0"/>
        <v>1093.3333333333335</v>
      </c>
      <c r="E17">
        <f t="shared" si="1"/>
        <v>0.74323235578472446</v>
      </c>
    </row>
    <row r="18" spans="1:5" x14ac:dyDescent="0.2">
      <c r="A18" t="s">
        <v>14</v>
      </c>
      <c r="B18">
        <v>226</v>
      </c>
      <c r="C18">
        <f t="shared" si="0"/>
        <v>1004.4444444444445</v>
      </c>
      <c r="E18">
        <f t="shared" si="1"/>
        <v>0.68280696100547855</v>
      </c>
    </row>
    <row r="19" spans="1:5" x14ac:dyDescent="0.2">
      <c r="A19" t="s">
        <v>15</v>
      </c>
      <c r="B19">
        <v>255</v>
      </c>
      <c r="C19">
        <f t="shared" si="0"/>
        <v>1133.3333333333335</v>
      </c>
      <c r="E19">
        <f t="shared" si="1"/>
        <v>0.7704237834353852</v>
      </c>
    </row>
    <row r="20" spans="1:5" x14ac:dyDescent="0.2">
      <c r="A20" t="s">
        <v>16</v>
      </c>
      <c r="B20">
        <v>170</v>
      </c>
      <c r="C20">
        <f t="shared" si="0"/>
        <v>755.55555555555554</v>
      </c>
      <c r="E20">
        <f t="shared" si="1"/>
        <v>0.51361585562359002</v>
      </c>
    </row>
    <row r="21" spans="1:5" x14ac:dyDescent="0.2">
      <c r="A21" t="s">
        <v>17</v>
      </c>
      <c r="B21">
        <v>177</v>
      </c>
      <c r="C21">
        <f t="shared" si="0"/>
        <v>786.66666666666674</v>
      </c>
      <c r="E21">
        <f t="shared" si="1"/>
        <v>0.53476474379632621</v>
      </c>
    </row>
    <row r="22" spans="1:5" x14ac:dyDescent="0.2">
      <c r="A22" t="s">
        <v>18</v>
      </c>
      <c r="B22">
        <v>152</v>
      </c>
      <c r="C22">
        <f t="shared" si="0"/>
        <v>675.55555555555554</v>
      </c>
      <c r="E22">
        <f t="shared" si="1"/>
        <v>0.45923300032226871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CB18-DC9D-E74C-9048-148AF6CB4B9E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25</v>
      </c>
      <c r="C1" t="s">
        <v>28</v>
      </c>
      <c r="D1" t="s">
        <v>29</v>
      </c>
      <c r="E1" t="s">
        <v>30</v>
      </c>
    </row>
    <row r="2" spans="1:5" x14ac:dyDescent="0.2">
      <c r="A2" t="s">
        <v>19</v>
      </c>
      <c r="B2">
        <v>27485</v>
      </c>
      <c r="C2">
        <f>((B2*200/50)*(100/90))</f>
        <v>122155.55555555556</v>
      </c>
      <c r="D2">
        <f>AVERAGE(C2:C4)</f>
        <v>125029.62962962962</v>
      </c>
      <c r="E2">
        <f>(C2/$D$2)*100</f>
        <v>97.701285621186102</v>
      </c>
    </row>
    <row r="3" spans="1:5" x14ac:dyDescent="0.2">
      <c r="A3" t="s">
        <v>20</v>
      </c>
      <c r="B3">
        <v>28361</v>
      </c>
      <c r="C3">
        <f t="shared" ref="C3:C22" si="0">((B3*200/50)*(100/90))</f>
        <v>126048.88888888889</v>
      </c>
      <c r="E3">
        <f t="shared" ref="E3:E22" si="1">(C3/$D$2)*100</f>
        <v>100.81521417145566</v>
      </c>
    </row>
    <row r="4" spans="1:5" x14ac:dyDescent="0.2">
      <c r="A4" t="s">
        <v>21</v>
      </c>
      <c r="B4">
        <v>28549</v>
      </c>
      <c r="C4">
        <f t="shared" si="0"/>
        <v>126884.44444444445</v>
      </c>
      <c r="E4">
        <f t="shared" si="1"/>
        <v>101.48350020735828</v>
      </c>
    </row>
    <row r="5" spans="1:5" x14ac:dyDescent="0.2">
      <c r="A5" t="s">
        <v>1</v>
      </c>
      <c r="B5">
        <v>27484</v>
      </c>
      <c r="C5">
        <f t="shared" si="0"/>
        <v>122151.11111111111</v>
      </c>
      <c r="E5">
        <f t="shared" si="1"/>
        <v>97.697730908229161</v>
      </c>
    </row>
    <row r="6" spans="1:5" x14ac:dyDescent="0.2">
      <c r="A6" t="s">
        <v>2</v>
      </c>
      <c r="B6">
        <v>26375</v>
      </c>
      <c r="C6">
        <f t="shared" si="0"/>
        <v>117222.22222222223</v>
      </c>
      <c r="E6">
        <f t="shared" si="1"/>
        <v>93.755554238995217</v>
      </c>
    </row>
    <row r="7" spans="1:5" x14ac:dyDescent="0.2">
      <c r="A7" t="s">
        <v>3</v>
      </c>
      <c r="B7">
        <v>27025</v>
      </c>
      <c r="C7">
        <f t="shared" si="0"/>
        <v>120111.11111111111</v>
      </c>
      <c r="E7">
        <f t="shared" si="1"/>
        <v>96.066117660998884</v>
      </c>
    </row>
    <row r="8" spans="1:5" x14ac:dyDescent="0.2">
      <c r="A8" t="s">
        <v>4</v>
      </c>
      <c r="B8">
        <v>23913</v>
      </c>
      <c r="C8">
        <f t="shared" si="0"/>
        <v>106280</v>
      </c>
      <c r="E8">
        <f t="shared" si="1"/>
        <v>85.003850939036667</v>
      </c>
    </row>
    <row r="9" spans="1:5" x14ac:dyDescent="0.2">
      <c r="A9" t="s">
        <v>5</v>
      </c>
      <c r="B9">
        <v>23337</v>
      </c>
      <c r="C9">
        <f t="shared" si="0"/>
        <v>103720</v>
      </c>
      <c r="E9">
        <f t="shared" si="1"/>
        <v>82.956336275845729</v>
      </c>
    </row>
    <row r="10" spans="1:5" x14ac:dyDescent="0.2">
      <c r="A10" t="s">
        <v>6</v>
      </c>
      <c r="B10">
        <v>19521</v>
      </c>
      <c r="C10">
        <f t="shared" si="0"/>
        <v>86760</v>
      </c>
      <c r="E10">
        <f t="shared" si="1"/>
        <v>69.391551632205704</v>
      </c>
    </row>
    <row r="11" spans="1:5" x14ac:dyDescent="0.2">
      <c r="A11" t="s">
        <v>7</v>
      </c>
      <c r="B11">
        <v>10563</v>
      </c>
      <c r="C11">
        <f t="shared" si="0"/>
        <v>46946.666666666672</v>
      </c>
      <c r="E11">
        <f t="shared" si="1"/>
        <v>37.548432964038156</v>
      </c>
    </row>
    <row r="12" spans="1:5" x14ac:dyDescent="0.2">
      <c r="A12" t="s">
        <v>8</v>
      </c>
      <c r="B12">
        <v>11346</v>
      </c>
      <c r="C12">
        <f t="shared" si="0"/>
        <v>50426.666666666672</v>
      </c>
      <c r="E12">
        <f t="shared" si="1"/>
        <v>40.331773209313354</v>
      </c>
    </row>
    <row r="13" spans="1:5" x14ac:dyDescent="0.2">
      <c r="A13" t="s">
        <v>9</v>
      </c>
      <c r="B13">
        <v>7807</v>
      </c>
      <c r="C13">
        <f t="shared" si="0"/>
        <v>34697.777777777781</v>
      </c>
      <c r="E13">
        <f t="shared" si="1"/>
        <v>27.751644054742584</v>
      </c>
    </row>
    <row r="14" spans="1:5" x14ac:dyDescent="0.2">
      <c r="A14" t="s">
        <v>10</v>
      </c>
      <c r="B14">
        <v>1200</v>
      </c>
      <c r="C14">
        <f t="shared" si="0"/>
        <v>5333.3333333333339</v>
      </c>
      <c r="E14">
        <f t="shared" si="1"/>
        <v>4.2656555483144745</v>
      </c>
    </row>
    <row r="15" spans="1:5" x14ac:dyDescent="0.2">
      <c r="A15" t="s">
        <v>11</v>
      </c>
      <c r="B15">
        <v>798</v>
      </c>
      <c r="C15">
        <f t="shared" si="0"/>
        <v>3546.666666666667</v>
      </c>
      <c r="E15">
        <f t="shared" si="1"/>
        <v>2.8366609396291254</v>
      </c>
    </row>
    <row r="16" spans="1:5" x14ac:dyDescent="0.2">
      <c r="A16" t="s">
        <v>12</v>
      </c>
      <c r="B16">
        <v>1225</v>
      </c>
      <c r="C16">
        <f t="shared" si="0"/>
        <v>5444.4444444444443</v>
      </c>
      <c r="E16">
        <f t="shared" si="1"/>
        <v>4.3545233722376917</v>
      </c>
    </row>
    <row r="17" spans="1:5" x14ac:dyDescent="0.2">
      <c r="A17" t="s">
        <v>13</v>
      </c>
      <c r="B17">
        <v>236</v>
      </c>
      <c r="C17">
        <f t="shared" si="0"/>
        <v>1048.8888888888889</v>
      </c>
      <c r="E17">
        <f t="shared" si="1"/>
        <v>0.83891225783517998</v>
      </c>
    </row>
    <row r="18" spans="1:5" x14ac:dyDescent="0.2">
      <c r="A18" t="s">
        <v>14</v>
      </c>
      <c r="B18">
        <v>219</v>
      </c>
      <c r="C18">
        <f t="shared" si="0"/>
        <v>973.33333333333337</v>
      </c>
      <c r="E18">
        <f t="shared" si="1"/>
        <v>0.7784821375673916</v>
      </c>
    </row>
    <row r="19" spans="1:5" x14ac:dyDescent="0.2">
      <c r="A19" t="s">
        <v>15</v>
      </c>
      <c r="B19">
        <v>235</v>
      </c>
      <c r="C19">
        <f t="shared" si="0"/>
        <v>1044.4444444444446</v>
      </c>
      <c r="E19">
        <f t="shared" si="1"/>
        <v>0.83535754487825131</v>
      </c>
    </row>
    <row r="20" spans="1:5" x14ac:dyDescent="0.2">
      <c r="A20" t="s">
        <v>16</v>
      </c>
      <c r="B20">
        <v>162</v>
      </c>
      <c r="C20">
        <f t="shared" si="0"/>
        <v>720</v>
      </c>
      <c r="E20">
        <f t="shared" si="1"/>
        <v>0.57586349902245404</v>
      </c>
    </row>
    <row r="21" spans="1:5" x14ac:dyDescent="0.2">
      <c r="A21" t="s">
        <v>17</v>
      </c>
      <c r="B21">
        <v>172</v>
      </c>
      <c r="C21">
        <f t="shared" si="0"/>
        <v>764.44444444444446</v>
      </c>
      <c r="E21">
        <f t="shared" si="1"/>
        <v>0.61141062859174122</v>
      </c>
    </row>
    <row r="22" spans="1:5" x14ac:dyDescent="0.2">
      <c r="A22" t="s">
        <v>18</v>
      </c>
      <c r="B22">
        <v>141</v>
      </c>
      <c r="C22">
        <f t="shared" si="0"/>
        <v>626.66666666666674</v>
      </c>
      <c r="E22">
        <f t="shared" si="1"/>
        <v>0.50121452692695079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17AB-BE72-FC4B-8806-63BD358F20ED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23</v>
      </c>
      <c r="C1" t="s">
        <v>28</v>
      </c>
      <c r="D1" t="s">
        <v>29</v>
      </c>
      <c r="E1" t="s">
        <v>30</v>
      </c>
    </row>
    <row r="2" spans="1:5" x14ac:dyDescent="0.2">
      <c r="A2" t="s">
        <v>19</v>
      </c>
      <c r="B2">
        <v>7199</v>
      </c>
      <c r="C2">
        <f>((B2*200/50)*(100/90))</f>
        <v>31995.555555555558</v>
      </c>
      <c r="D2">
        <f>AVERAGE(C2:C4)</f>
        <v>32543.703703703708</v>
      </c>
      <c r="E2">
        <f>(C2/$D$2)*100</f>
        <v>98.315655301133503</v>
      </c>
    </row>
    <row r="3" spans="1:5" x14ac:dyDescent="0.2">
      <c r="A3" t="s">
        <v>20</v>
      </c>
      <c r="B3">
        <v>6897</v>
      </c>
      <c r="C3">
        <f t="shared" ref="C3:C22" si="0">((B3*200/50)*(100/90))</f>
        <v>30653.333333333336</v>
      </c>
      <c r="E3">
        <f t="shared" ref="E3:E22" si="1">(C3/$D$2)*100</f>
        <v>94.191286930395592</v>
      </c>
    </row>
    <row r="4" spans="1:5" x14ac:dyDescent="0.2">
      <c r="A4" t="s">
        <v>21</v>
      </c>
      <c r="B4">
        <v>7871</v>
      </c>
      <c r="C4">
        <f t="shared" si="0"/>
        <v>34982.222222222226</v>
      </c>
      <c r="E4">
        <f t="shared" si="1"/>
        <v>107.49305776847089</v>
      </c>
    </row>
    <row r="5" spans="1:5" x14ac:dyDescent="0.2">
      <c r="A5" t="s">
        <v>1</v>
      </c>
      <c r="B5">
        <v>7157</v>
      </c>
      <c r="C5">
        <f t="shared" si="0"/>
        <v>31808.888888888891</v>
      </c>
      <c r="E5">
        <f t="shared" si="1"/>
        <v>97.742067646924923</v>
      </c>
    </row>
    <row r="6" spans="1:5" x14ac:dyDescent="0.2">
      <c r="A6" t="s">
        <v>2</v>
      </c>
      <c r="B6">
        <v>7499</v>
      </c>
      <c r="C6">
        <f t="shared" si="0"/>
        <v>33328.888888888891</v>
      </c>
      <c r="E6">
        <f t="shared" si="1"/>
        <v>102.41270997405198</v>
      </c>
    </row>
    <row r="7" spans="1:5" x14ac:dyDescent="0.2">
      <c r="A7" t="s">
        <v>3</v>
      </c>
      <c r="B7">
        <v>6810</v>
      </c>
      <c r="C7">
        <f t="shared" si="0"/>
        <v>30266.666666666668</v>
      </c>
      <c r="E7">
        <f t="shared" si="1"/>
        <v>93.003141075249232</v>
      </c>
    </row>
    <row r="8" spans="1:5" x14ac:dyDescent="0.2">
      <c r="A8" t="s">
        <v>4</v>
      </c>
      <c r="B8">
        <v>3848</v>
      </c>
      <c r="C8">
        <f t="shared" si="0"/>
        <v>17102.222222222223</v>
      </c>
      <c r="E8">
        <f t="shared" si="1"/>
        <v>52.551554604634219</v>
      </c>
    </row>
    <row r="9" spans="1:5" x14ac:dyDescent="0.2">
      <c r="A9" t="s">
        <v>5</v>
      </c>
      <c r="B9">
        <v>4654</v>
      </c>
      <c r="C9">
        <f t="shared" si="0"/>
        <v>20684.444444444445</v>
      </c>
      <c r="E9">
        <f t="shared" si="1"/>
        <v>63.558974825875168</v>
      </c>
    </row>
    <row r="10" spans="1:5" x14ac:dyDescent="0.2">
      <c r="A10" t="s">
        <v>6</v>
      </c>
      <c r="B10">
        <v>3403</v>
      </c>
      <c r="C10">
        <f t="shared" si="0"/>
        <v>15124.444444444445</v>
      </c>
      <c r="E10">
        <f t="shared" si="1"/>
        <v>46.474256839805157</v>
      </c>
    </row>
    <row r="11" spans="1:5" x14ac:dyDescent="0.2">
      <c r="A11" t="s">
        <v>7</v>
      </c>
      <c r="B11">
        <v>872</v>
      </c>
      <c r="C11">
        <f t="shared" si="0"/>
        <v>3875.5555555555557</v>
      </c>
      <c r="E11">
        <f t="shared" si="1"/>
        <v>11.908772249283015</v>
      </c>
    </row>
    <row r="12" spans="1:5" x14ac:dyDescent="0.2">
      <c r="A12" t="s">
        <v>8</v>
      </c>
      <c r="B12">
        <v>1065</v>
      </c>
      <c r="C12">
        <f t="shared" si="0"/>
        <v>4733.3333333333339</v>
      </c>
      <c r="E12">
        <f t="shared" si="1"/>
        <v>14.544544088860563</v>
      </c>
    </row>
    <row r="13" spans="1:5" x14ac:dyDescent="0.2">
      <c r="A13" t="s">
        <v>9</v>
      </c>
      <c r="B13">
        <v>678</v>
      </c>
      <c r="C13">
        <f t="shared" si="0"/>
        <v>3013.3333333333335</v>
      </c>
      <c r="E13">
        <f t="shared" si="1"/>
        <v>9.2593435607957382</v>
      </c>
    </row>
    <row r="14" spans="1:5" x14ac:dyDescent="0.2">
      <c r="A14" t="s">
        <v>10</v>
      </c>
      <c r="B14">
        <v>129</v>
      </c>
      <c r="C14">
        <f t="shared" si="0"/>
        <v>573.33333333333337</v>
      </c>
      <c r="E14">
        <f t="shared" si="1"/>
        <v>1.7617335093549413</v>
      </c>
    </row>
    <row r="15" spans="1:5" x14ac:dyDescent="0.2">
      <c r="A15" t="s">
        <v>11</v>
      </c>
      <c r="B15">
        <v>92</v>
      </c>
      <c r="C15">
        <f t="shared" si="0"/>
        <v>408.88888888888891</v>
      </c>
      <c r="E15">
        <f t="shared" si="1"/>
        <v>1.2564300996949969</v>
      </c>
    </row>
    <row r="16" spans="1:5" x14ac:dyDescent="0.2">
      <c r="A16" t="s">
        <v>12</v>
      </c>
      <c r="B16">
        <v>117</v>
      </c>
      <c r="C16">
        <f t="shared" si="0"/>
        <v>520</v>
      </c>
      <c r="E16">
        <f t="shared" si="1"/>
        <v>1.5978513224382027</v>
      </c>
    </row>
    <row r="17" spans="1:5" x14ac:dyDescent="0.2">
      <c r="A17" t="s">
        <v>13</v>
      </c>
      <c r="B17">
        <v>10</v>
      </c>
      <c r="C17">
        <f t="shared" si="0"/>
        <v>44.444444444444443</v>
      </c>
      <c r="E17">
        <f t="shared" si="1"/>
        <v>0.13656848909728228</v>
      </c>
    </row>
    <row r="18" spans="1:5" x14ac:dyDescent="0.2">
      <c r="A18" t="s">
        <v>14</v>
      </c>
      <c r="B18">
        <v>11</v>
      </c>
      <c r="C18">
        <f t="shared" si="0"/>
        <v>48.888888888888893</v>
      </c>
      <c r="E18">
        <f t="shared" si="1"/>
        <v>0.15022533800701049</v>
      </c>
    </row>
    <row r="19" spans="1:5" x14ac:dyDescent="0.2">
      <c r="A19" t="s">
        <v>15</v>
      </c>
      <c r="B19">
        <v>6</v>
      </c>
      <c r="C19">
        <f t="shared" si="0"/>
        <v>26.666666666666668</v>
      </c>
      <c r="E19">
        <f t="shared" si="1"/>
        <v>8.1941093458369363E-2</v>
      </c>
    </row>
    <row r="20" spans="1:5" x14ac:dyDescent="0.2">
      <c r="A20" t="s">
        <v>16</v>
      </c>
      <c r="B20">
        <v>5</v>
      </c>
      <c r="C20">
        <f t="shared" si="0"/>
        <v>22.222222222222221</v>
      </c>
      <c r="E20">
        <f t="shared" si="1"/>
        <v>6.828424454864114E-2</v>
      </c>
    </row>
    <row r="21" spans="1:5" x14ac:dyDescent="0.2">
      <c r="A21" t="s">
        <v>17</v>
      </c>
      <c r="B21">
        <v>6</v>
      </c>
      <c r="C21">
        <f t="shared" si="0"/>
        <v>26.666666666666668</v>
      </c>
      <c r="E21">
        <f t="shared" si="1"/>
        <v>8.1941093458369363E-2</v>
      </c>
    </row>
    <row r="22" spans="1:5" x14ac:dyDescent="0.2">
      <c r="A22" t="s">
        <v>18</v>
      </c>
      <c r="B22">
        <v>11</v>
      </c>
      <c r="C22">
        <f t="shared" si="0"/>
        <v>48.888888888888893</v>
      </c>
      <c r="E22">
        <f t="shared" si="1"/>
        <v>0.15022533800701049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D025-2DC6-5F43-B728-4BBC6182ADB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24</v>
      </c>
      <c r="C1" t="s">
        <v>28</v>
      </c>
      <c r="D1" t="s">
        <v>29</v>
      </c>
      <c r="E1" t="s">
        <v>30</v>
      </c>
    </row>
    <row r="2" spans="1:5" x14ac:dyDescent="0.2">
      <c r="A2" t="s">
        <v>19</v>
      </c>
      <c r="B2">
        <v>4416</v>
      </c>
      <c r="C2">
        <f>((B2*200/50)*(100/90))</f>
        <v>19626.666666666668</v>
      </c>
      <c r="D2">
        <f>AVERAGE(C2:C4)</f>
        <v>19063.703703703704</v>
      </c>
      <c r="E2">
        <f>(C2/$D$2)*100</f>
        <v>102.95306185887473</v>
      </c>
    </row>
    <row r="3" spans="1:5" x14ac:dyDescent="0.2">
      <c r="A3" t="s">
        <v>20</v>
      </c>
      <c r="B3">
        <v>4244</v>
      </c>
      <c r="C3">
        <f t="shared" ref="C3:C22" si="0">((B3*200/50)*(100/90))</f>
        <v>18862.222222222223</v>
      </c>
      <c r="E3">
        <f t="shared" ref="E3:E22" si="1">(C3/$D$2)*100</f>
        <v>98.943114703139571</v>
      </c>
    </row>
    <row r="4" spans="1:5" x14ac:dyDescent="0.2">
      <c r="A4" t="s">
        <v>21</v>
      </c>
      <c r="B4">
        <v>4208</v>
      </c>
      <c r="C4">
        <f t="shared" si="0"/>
        <v>18702.222222222223</v>
      </c>
      <c r="E4">
        <f t="shared" si="1"/>
        <v>98.10382343798571</v>
      </c>
    </row>
    <row r="5" spans="1:5" x14ac:dyDescent="0.2">
      <c r="A5" t="s">
        <v>1</v>
      </c>
      <c r="B5">
        <v>3477</v>
      </c>
      <c r="C5">
        <f t="shared" si="0"/>
        <v>15453.333333333334</v>
      </c>
      <c r="E5">
        <f t="shared" si="1"/>
        <v>81.061548026111282</v>
      </c>
    </row>
    <row r="6" spans="1:5" x14ac:dyDescent="0.2">
      <c r="A6" t="s">
        <v>2</v>
      </c>
      <c r="B6">
        <v>4249</v>
      </c>
      <c r="C6">
        <f t="shared" si="0"/>
        <v>18884.444444444445</v>
      </c>
      <c r="E6">
        <f t="shared" si="1"/>
        <v>99.059682934410944</v>
      </c>
    </row>
    <row r="7" spans="1:5" x14ac:dyDescent="0.2">
      <c r="A7" t="s">
        <v>3</v>
      </c>
      <c r="B7">
        <v>4004</v>
      </c>
      <c r="C7">
        <f t="shared" si="0"/>
        <v>17795.555555555555</v>
      </c>
      <c r="E7">
        <f t="shared" si="1"/>
        <v>93.347839602113751</v>
      </c>
    </row>
    <row r="8" spans="1:5" x14ac:dyDescent="0.2">
      <c r="A8" t="s">
        <v>4</v>
      </c>
      <c r="B8">
        <v>2910</v>
      </c>
      <c r="C8">
        <f t="shared" si="0"/>
        <v>12933.333333333334</v>
      </c>
      <c r="E8">
        <f t="shared" si="1"/>
        <v>67.842710599937831</v>
      </c>
    </row>
    <row r="9" spans="1:5" x14ac:dyDescent="0.2">
      <c r="A9" t="s">
        <v>5</v>
      </c>
      <c r="B9">
        <v>3284</v>
      </c>
      <c r="C9">
        <f t="shared" si="0"/>
        <v>14595.555555555557</v>
      </c>
      <c r="E9">
        <f t="shared" si="1"/>
        <v>76.562014299036377</v>
      </c>
    </row>
    <row r="10" spans="1:5" x14ac:dyDescent="0.2">
      <c r="A10" t="s">
        <v>6</v>
      </c>
      <c r="B10">
        <v>2422</v>
      </c>
      <c r="C10">
        <f t="shared" si="0"/>
        <v>10764.444444444445</v>
      </c>
      <c r="E10">
        <f t="shared" si="1"/>
        <v>56.465651227852042</v>
      </c>
    </row>
    <row r="11" spans="1:5" x14ac:dyDescent="0.2">
      <c r="A11" t="s">
        <v>7</v>
      </c>
      <c r="B11">
        <v>688</v>
      </c>
      <c r="C11">
        <f t="shared" si="0"/>
        <v>3057.7777777777778</v>
      </c>
      <c r="E11">
        <f t="shared" si="1"/>
        <v>16.03978862294063</v>
      </c>
    </row>
    <row r="12" spans="1:5" x14ac:dyDescent="0.2">
      <c r="A12" t="s">
        <v>8</v>
      </c>
      <c r="B12">
        <v>693</v>
      </c>
      <c r="C12">
        <f t="shared" si="0"/>
        <v>3080</v>
      </c>
      <c r="E12">
        <f t="shared" si="1"/>
        <v>16.156356854212</v>
      </c>
    </row>
    <row r="13" spans="1:5" x14ac:dyDescent="0.2">
      <c r="A13" t="s">
        <v>9</v>
      </c>
      <c r="B13">
        <v>540</v>
      </c>
      <c r="C13">
        <f t="shared" si="0"/>
        <v>2400</v>
      </c>
      <c r="E13">
        <f t="shared" si="1"/>
        <v>12.58936897730805</v>
      </c>
    </row>
    <row r="14" spans="1:5" x14ac:dyDescent="0.2">
      <c r="A14" t="s">
        <v>10</v>
      </c>
      <c r="B14">
        <v>15</v>
      </c>
      <c r="C14">
        <f t="shared" si="0"/>
        <v>66.666666666666671</v>
      </c>
      <c r="E14">
        <f t="shared" si="1"/>
        <v>0.34970469381411251</v>
      </c>
    </row>
    <row r="15" spans="1:5" x14ac:dyDescent="0.2">
      <c r="A15" t="s">
        <v>11</v>
      </c>
      <c r="B15">
        <v>11</v>
      </c>
      <c r="C15">
        <f t="shared" si="0"/>
        <v>48.888888888888893</v>
      </c>
      <c r="E15">
        <f t="shared" si="1"/>
        <v>0.25645010879701585</v>
      </c>
    </row>
    <row r="16" spans="1:5" x14ac:dyDescent="0.2">
      <c r="A16" t="s">
        <v>12</v>
      </c>
      <c r="B16">
        <v>15</v>
      </c>
      <c r="C16">
        <f t="shared" si="0"/>
        <v>66.666666666666671</v>
      </c>
      <c r="E16">
        <f t="shared" si="1"/>
        <v>0.34970469381411251</v>
      </c>
    </row>
    <row r="17" spans="1:5" x14ac:dyDescent="0.2">
      <c r="A17" t="s">
        <v>13</v>
      </c>
      <c r="B17">
        <v>3</v>
      </c>
      <c r="C17">
        <f t="shared" si="0"/>
        <v>13.333333333333334</v>
      </c>
      <c r="E17">
        <f t="shared" si="1"/>
        <v>6.9940938762822508E-2</v>
      </c>
    </row>
    <row r="18" spans="1:5" x14ac:dyDescent="0.2">
      <c r="A18" t="s">
        <v>14</v>
      </c>
      <c r="B18">
        <v>1</v>
      </c>
      <c r="C18">
        <f t="shared" si="0"/>
        <v>4.4444444444444446</v>
      </c>
      <c r="E18">
        <f t="shared" si="1"/>
        <v>2.3313646254274168E-2</v>
      </c>
    </row>
    <row r="19" spans="1:5" x14ac:dyDescent="0.2">
      <c r="A19" t="s">
        <v>15</v>
      </c>
      <c r="B19">
        <v>4</v>
      </c>
      <c r="C19">
        <f t="shared" si="0"/>
        <v>17.777777777777779</v>
      </c>
      <c r="E19">
        <f t="shared" si="1"/>
        <v>9.3254585017096672E-2</v>
      </c>
    </row>
    <row r="20" spans="1:5" x14ac:dyDescent="0.2">
      <c r="A20" t="s">
        <v>16</v>
      </c>
      <c r="B20">
        <v>3</v>
      </c>
      <c r="C20">
        <f t="shared" si="0"/>
        <v>13.333333333333334</v>
      </c>
      <c r="E20">
        <f t="shared" si="1"/>
        <v>6.9940938762822508E-2</v>
      </c>
    </row>
    <row r="21" spans="1:5" x14ac:dyDescent="0.2">
      <c r="A21" t="s">
        <v>17</v>
      </c>
      <c r="B21">
        <v>2</v>
      </c>
      <c r="C21">
        <f t="shared" si="0"/>
        <v>8.8888888888888893</v>
      </c>
      <c r="E21">
        <f t="shared" si="1"/>
        <v>4.6627292508548336E-2</v>
      </c>
    </row>
    <row r="22" spans="1:5" x14ac:dyDescent="0.2">
      <c r="A22" t="s">
        <v>18</v>
      </c>
      <c r="B22">
        <v>5</v>
      </c>
      <c r="C22">
        <f t="shared" si="0"/>
        <v>22.222222222222221</v>
      </c>
      <c r="E22">
        <f t="shared" si="1"/>
        <v>0.11656823127137084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BDA0-F2D4-B64B-B9EC-428EF885995E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26</v>
      </c>
      <c r="C1" t="s">
        <v>28</v>
      </c>
      <c r="D1" t="s">
        <v>29</v>
      </c>
      <c r="E1" t="s">
        <v>30</v>
      </c>
    </row>
    <row r="2" spans="1:5" x14ac:dyDescent="0.2">
      <c r="A2" t="s">
        <v>19</v>
      </c>
      <c r="B2">
        <v>2661</v>
      </c>
      <c r="C2">
        <f>((B2*200/50)*(100/90))</f>
        <v>11826.666666666668</v>
      </c>
      <c r="D2">
        <f>AVERAGE(C2:C4)</f>
        <v>11776.296296296297</v>
      </c>
      <c r="E2">
        <f>(C2/$D$2)*100</f>
        <v>100.42772675808278</v>
      </c>
    </row>
    <row r="3" spans="1:5" x14ac:dyDescent="0.2">
      <c r="A3" t="s">
        <v>20</v>
      </c>
      <c r="B3">
        <v>2763</v>
      </c>
      <c r="C3">
        <f t="shared" ref="C3:C22" si="0">((B3*200/50)*(100/90))</f>
        <v>12280</v>
      </c>
      <c r="E3">
        <f t="shared" ref="E3:E22" si="1">(C3/$D$2)*100</f>
        <v>104.27726758082775</v>
      </c>
    </row>
    <row r="4" spans="1:5" x14ac:dyDescent="0.2">
      <c r="A4" t="s">
        <v>21</v>
      </c>
      <c r="B4">
        <v>2525</v>
      </c>
      <c r="C4">
        <f t="shared" si="0"/>
        <v>11222.222222222223</v>
      </c>
      <c r="E4">
        <f t="shared" si="1"/>
        <v>95.295005661089434</v>
      </c>
    </row>
    <row r="5" spans="1:5" x14ac:dyDescent="0.2">
      <c r="A5" t="s">
        <v>1</v>
      </c>
      <c r="B5">
        <v>2408</v>
      </c>
      <c r="C5">
        <f t="shared" si="0"/>
        <v>10702.222222222223</v>
      </c>
      <c r="E5">
        <f t="shared" si="1"/>
        <v>90.879355893823117</v>
      </c>
    </row>
    <row r="6" spans="1:5" x14ac:dyDescent="0.2">
      <c r="A6" t="s">
        <v>2</v>
      </c>
      <c r="B6">
        <v>2594</v>
      </c>
      <c r="C6">
        <f t="shared" si="0"/>
        <v>11528.888888888889</v>
      </c>
      <c r="E6">
        <f t="shared" si="1"/>
        <v>97.899106805887527</v>
      </c>
    </row>
    <row r="7" spans="1:5" x14ac:dyDescent="0.2">
      <c r="A7" t="s">
        <v>3</v>
      </c>
      <c r="B7">
        <v>2507</v>
      </c>
      <c r="C7">
        <f t="shared" si="0"/>
        <v>11142.222222222223</v>
      </c>
      <c r="E7">
        <f t="shared" si="1"/>
        <v>94.615674927663846</v>
      </c>
    </row>
    <row r="8" spans="1:5" x14ac:dyDescent="0.2">
      <c r="A8" t="s">
        <v>4</v>
      </c>
      <c r="B8">
        <v>2150</v>
      </c>
      <c r="C8">
        <f t="shared" si="0"/>
        <v>9555.5555555555566</v>
      </c>
      <c r="E8">
        <f t="shared" si="1"/>
        <v>81.142282048056359</v>
      </c>
    </row>
    <row r="9" spans="1:5" x14ac:dyDescent="0.2">
      <c r="A9" t="s">
        <v>5</v>
      </c>
      <c r="B9">
        <v>2379</v>
      </c>
      <c r="C9">
        <f t="shared" si="0"/>
        <v>10573.333333333334</v>
      </c>
      <c r="E9">
        <f t="shared" si="1"/>
        <v>89.7848786010819</v>
      </c>
    </row>
    <row r="10" spans="1:5" x14ac:dyDescent="0.2">
      <c r="A10" t="s">
        <v>6</v>
      </c>
      <c r="B10">
        <v>1728</v>
      </c>
      <c r="C10">
        <f t="shared" si="0"/>
        <v>7680</v>
      </c>
      <c r="E10">
        <f t="shared" si="1"/>
        <v>65.215750408856451</v>
      </c>
    </row>
    <row r="11" spans="1:5" x14ac:dyDescent="0.2">
      <c r="A11" t="s">
        <v>7</v>
      </c>
      <c r="B11">
        <v>508</v>
      </c>
      <c r="C11">
        <f t="shared" si="0"/>
        <v>2257.7777777777778</v>
      </c>
      <c r="E11">
        <f t="shared" si="1"/>
        <v>19.172222921122152</v>
      </c>
    </row>
    <row r="12" spans="1:5" x14ac:dyDescent="0.2">
      <c r="A12" t="s">
        <v>8</v>
      </c>
      <c r="B12">
        <v>535</v>
      </c>
      <c r="C12">
        <f t="shared" si="0"/>
        <v>2377.7777777777778</v>
      </c>
      <c r="E12">
        <f t="shared" si="1"/>
        <v>20.191219021260533</v>
      </c>
    </row>
    <row r="13" spans="1:5" x14ac:dyDescent="0.2">
      <c r="A13" t="s">
        <v>9</v>
      </c>
      <c r="B13">
        <v>391</v>
      </c>
      <c r="C13">
        <f t="shared" si="0"/>
        <v>1737.7777777777778</v>
      </c>
      <c r="E13">
        <f t="shared" si="1"/>
        <v>14.756573153855829</v>
      </c>
    </row>
    <row r="14" spans="1:5" x14ac:dyDescent="0.2">
      <c r="A14" t="s">
        <v>10</v>
      </c>
      <c r="B14">
        <v>3</v>
      </c>
      <c r="C14">
        <f t="shared" si="0"/>
        <v>13.333333333333334</v>
      </c>
      <c r="E14">
        <f t="shared" si="1"/>
        <v>0.11322178890426468</v>
      </c>
    </row>
    <row r="15" spans="1:5" x14ac:dyDescent="0.2">
      <c r="A15" t="s">
        <v>11</v>
      </c>
      <c r="B15">
        <v>9</v>
      </c>
      <c r="C15">
        <f t="shared" si="0"/>
        <v>40</v>
      </c>
      <c r="E15">
        <f t="shared" si="1"/>
        <v>0.33966536671279407</v>
      </c>
    </row>
    <row r="16" spans="1:5" x14ac:dyDescent="0.2">
      <c r="A16" t="s">
        <v>12</v>
      </c>
      <c r="B16">
        <v>7</v>
      </c>
      <c r="C16">
        <f t="shared" si="0"/>
        <v>31.111111111111114</v>
      </c>
      <c r="E16">
        <f t="shared" si="1"/>
        <v>0.26418417410995093</v>
      </c>
    </row>
    <row r="17" spans="1:5" x14ac:dyDescent="0.2">
      <c r="A17" t="s">
        <v>13</v>
      </c>
      <c r="B17">
        <v>1</v>
      </c>
      <c r="C17">
        <f t="shared" si="0"/>
        <v>4.4444444444444446</v>
      </c>
      <c r="E17">
        <f t="shared" si="1"/>
        <v>3.7740596301421563E-2</v>
      </c>
    </row>
    <row r="18" spans="1:5" x14ac:dyDescent="0.2">
      <c r="A18" t="s">
        <v>14</v>
      </c>
      <c r="B18">
        <v>0</v>
      </c>
      <c r="C18">
        <f t="shared" si="0"/>
        <v>0</v>
      </c>
      <c r="E18">
        <f t="shared" si="1"/>
        <v>0</v>
      </c>
    </row>
    <row r="19" spans="1:5" x14ac:dyDescent="0.2">
      <c r="A19" t="s">
        <v>15</v>
      </c>
      <c r="B19">
        <v>0</v>
      </c>
      <c r="C19">
        <f t="shared" si="0"/>
        <v>0</v>
      </c>
      <c r="E19">
        <f t="shared" si="1"/>
        <v>0</v>
      </c>
    </row>
    <row r="20" spans="1:5" x14ac:dyDescent="0.2">
      <c r="A20" t="s">
        <v>16</v>
      </c>
      <c r="B20">
        <v>1</v>
      </c>
      <c r="C20">
        <f t="shared" si="0"/>
        <v>4.4444444444444446</v>
      </c>
      <c r="E20">
        <f t="shared" si="1"/>
        <v>3.7740596301421563E-2</v>
      </c>
    </row>
    <row r="21" spans="1:5" x14ac:dyDescent="0.2">
      <c r="A21" t="s">
        <v>17</v>
      </c>
      <c r="B21">
        <v>3</v>
      </c>
      <c r="C21">
        <f t="shared" si="0"/>
        <v>13.333333333333334</v>
      </c>
      <c r="E21">
        <f t="shared" si="1"/>
        <v>0.11322178890426468</v>
      </c>
    </row>
    <row r="22" spans="1:5" x14ac:dyDescent="0.2">
      <c r="A22" t="s">
        <v>18</v>
      </c>
      <c r="B22">
        <v>2</v>
      </c>
      <c r="C22">
        <f t="shared" si="0"/>
        <v>8.8888888888888893</v>
      </c>
      <c r="E22">
        <f t="shared" si="1"/>
        <v>7.5481192602843125E-2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7879-1A6B-7F4C-8FB3-5D7F7F90AE7D}">
  <dimension ref="A1:E22"/>
  <sheetViews>
    <sheetView tabSelected="1" workbookViewId="0">
      <selection activeCell="H8" sqref="H8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 t="s">
        <v>19</v>
      </c>
      <c r="B2">
        <v>1808</v>
      </c>
      <c r="C2">
        <f>((B2*200/50)*(100/90))</f>
        <v>8035.5555555555557</v>
      </c>
      <c r="D2">
        <f>AVERAGE(C2:C4)</f>
        <v>7533.333333333333</v>
      </c>
      <c r="E2">
        <f>(C2/$D$2)*100</f>
        <v>106.66666666666667</v>
      </c>
    </row>
    <row r="3" spans="1:5" x14ac:dyDescent="0.2">
      <c r="A3" t="s">
        <v>20</v>
      </c>
      <c r="B3">
        <v>1537</v>
      </c>
      <c r="C3">
        <f t="shared" ref="C3:C22" si="0">((B3*200/50)*(100/90))</f>
        <v>6831.1111111111113</v>
      </c>
      <c r="E3">
        <f t="shared" ref="E3:E22" si="1">(C3/$D$2)*100</f>
        <v>90.678466076696168</v>
      </c>
    </row>
    <row r="4" spans="1:5" x14ac:dyDescent="0.2">
      <c r="A4" t="s">
        <v>21</v>
      </c>
      <c r="B4">
        <v>1740</v>
      </c>
      <c r="C4">
        <f t="shared" si="0"/>
        <v>7733.3333333333339</v>
      </c>
      <c r="E4">
        <f t="shared" si="1"/>
        <v>102.65486725663717</v>
      </c>
    </row>
    <row r="5" spans="1:5" x14ac:dyDescent="0.2">
      <c r="A5" t="s">
        <v>1</v>
      </c>
      <c r="B5">
        <v>1107</v>
      </c>
      <c r="C5">
        <f t="shared" si="0"/>
        <v>4920</v>
      </c>
      <c r="E5">
        <f t="shared" si="1"/>
        <v>65.309734513274336</v>
      </c>
    </row>
    <row r="6" spans="1:5" x14ac:dyDescent="0.2">
      <c r="A6" t="s">
        <v>2</v>
      </c>
      <c r="B6">
        <v>1700</v>
      </c>
      <c r="C6">
        <f t="shared" si="0"/>
        <v>7555.5555555555557</v>
      </c>
      <c r="E6">
        <f t="shared" si="1"/>
        <v>100.29498525073748</v>
      </c>
    </row>
    <row r="7" spans="1:5" x14ac:dyDescent="0.2">
      <c r="A7" t="s">
        <v>3</v>
      </c>
      <c r="B7">
        <v>1560</v>
      </c>
      <c r="C7">
        <f t="shared" si="0"/>
        <v>6933.3333333333339</v>
      </c>
      <c r="E7">
        <f t="shared" si="1"/>
        <v>92.035398230088504</v>
      </c>
    </row>
    <row r="8" spans="1:5" x14ac:dyDescent="0.2">
      <c r="A8" t="s">
        <v>4</v>
      </c>
      <c r="B8">
        <v>785</v>
      </c>
      <c r="C8">
        <f t="shared" si="0"/>
        <v>3488.8888888888891</v>
      </c>
      <c r="E8">
        <f t="shared" si="1"/>
        <v>46.312684365781713</v>
      </c>
    </row>
    <row r="9" spans="1:5" x14ac:dyDescent="0.2">
      <c r="A9" t="s">
        <v>5</v>
      </c>
      <c r="B9">
        <v>929</v>
      </c>
      <c r="C9">
        <f t="shared" si="0"/>
        <v>4128.8888888888887</v>
      </c>
      <c r="E9">
        <f t="shared" si="1"/>
        <v>54.808259587020643</v>
      </c>
    </row>
    <row r="10" spans="1:5" x14ac:dyDescent="0.2">
      <c r="A10" t="s">
        <v>6</v>
      </c>
      <c r="B10">
        <v>713</v>
      </c>
      <c r="C10">
        <f t="shared" si="0"/>
        <v>3168.8888888888891</v>
      </c>
      <c r="E10">
        <f t="shared" si="1"/>
        <v>42.064896755162245</v>
      </c>
    </row>
    <row r="11" spans="1:5" x14ac:dyDescent="0.2">
      <c r="A11" t="s">
        <v>7</v>
      </c>
      <c r="B11">
        <v>184</v>
      </c>
      <c r="C11">
        <f t="shared" si="0"/>
        <v>817.77777777777783</v>
      </c>
      <c r="E11">
        <f t="shared" si="1"/>
        <v>10.855457227138645</v>
      </c>
    </row>
    <row r="12" spans="1:5" x14ac:dyDescent="0.2">
      <c r="A12" t="s">
        <v>8</v>
      </c>
      <c r="B12">
        <v>162</v>
      </c>
      <c r="C12">
        <f t="shared" si="0"/>
        <v>720</v>
      </c>
      <c r="E12">
        <f t="shared" si="1"/>
        <v>9.557522123893806</v>
      </c>
    </row>
    <row r="13" spans="1:5" x14ac:dyDescent="0.2">
      <c r="A13" t="s">
        <v>9</v>
      </c>
      <c r="B13">
        <v>154</v>
      </c>
      <c r="C13">
        <f t="shared" si="0"/>
        <v>684.44444444444446</v>
      </c>
      <c r="E13">
        <f t="shared" si="1"/>
        <v>9.0855457227138636</v>
      </c>
    </row>
    <row r="14" spans="1:5" x14ac:dyDescent="0.2">
      <c r="A14" t="s">
        <v>10</v>
      </c>
      <c r="B14">
        <v>12</v>
      </c>
      <c r="C14">
        <f t="shared" si="0"/>
        <v>53.333333333333336</v>
      </c>
      <c r="E14">
        <f t="shared" si="1"/>
        <v>0.70796460176991161</v>
      </c>
    </row>
    <row r="15" spans="1:5" x14ac:dyDescent="0.2">
      <c r="A15" t="s">
        <v>11</v>
      </c>
      <c r="B15">
        <v>2</v>
      </c>
      <c r="C15">
        <f t="shared" si="0"/>
        <v>8.8888888888888893</v>
      </c>
      <c r="E15">
        <f t="shared" si="1"/>
        <v>0.11799410029498528</v>
      </c>
    </row>
    <row r="16" spans="1:5" x14ac:dyDescent="0.2">
      <c r="A16" t="s">
        <v>12</v>
      </c>
      <c r="B16">
        <v>8</v>
      </c>
      <c r="C16">
        <f t="shared" si="0"/>
        <v>35.555555555555557</v>
      </c>
      <c r="E16">
        <f t="shared" si="1"/>
        <v>0.47197640117994111</v>
      </c>
    </row>
    <row r="17" spans="1:5" x14ac:dyDescent="0.2">
      <c r="A17" t="s">
        <v>13</v>
      </c>
      <c r="B17">
        <v>3</v>
      </c>
      <c r="C17">
        <f t="shared" si="0"/>
        <v>13.333333333333334</v>
      </c>
      <c r="E17">
        <f t="shared" si="1"/>
        <v>0.1769911504424779</v>
      </c>
    </row>
    <row r="18" spans="1:5" x14ac:dyDescent="0.2">
      <c r="A18" t="s">
        <v>14</v>
      </c>
      <c r="B18">
        <v>1</v>
      </c>
      <c r="C18">
        <f t="shared" si="0"/>
        <v>4.4444444444444446</v>
      </c>
      <c r="E18">
        <f t="shared" si="1"/>
        <v>5.8997050147492638E-2</v>
      </c>
    </row>
    <row r="19" spans="1:5" x14ac:dyDescent="0.2">
      <c r="A19" t="s">
        <v>15</v>
      </c>
      <c r="B19">
        <v>4</v>
      </c>
      <c r="C19">
        <f t="shared" si="0"/>
        <v>17.777777777777779</v>
      </c>
      <c r="E19">
        <f t="shared" si="1"/>
        <v>0.23598820058997055</v>
      </c>
    </row>
    <row r="20" spans="1:5" x14ac:dyDescent="0.2">
      <c r="A20" t="s">
        <v>16</v>
      </c>
      <c r="B20">
        <v>2</v>
      </c>
      <c r="C20">
        <f t="shared" si="0"/>
        <v>8.8888888888888893</v>
      </c>
      <c r="E20">
        <f t="shared" si="1"/>
        <v>0.11799410029498528</v>
      </c>
    </row>
    <row r="21" spans="1:5" x14ac:dyDescent="0.2">
      <c r="A21" t="s">
        <v>17</v>
      </c>
      <c r="B21">
        <v>0</v>
      </c>
      <c r="C21">
        <f t="shared" si="0"/>
        <v>0</v>
      </c>
      <c r="E21">
        <f t="shared" si="1"/>
        <v>0</v>
      </c>
    </row>
    <row r="22" spans="1:5" x14ac:dyDescent="0.2">
      <c r="A22" t="s">
        <v>18</v>
      </c>
      <c r="B22">
        <v>3</v>
      </c>
      <c r="C22">
        <f t="shared" si="0"/>
        <v>13.333333333333334</v>
      </c>
      <c r="E22">
        <f t="shared" si="1"/>
        <v>0.1769911504424779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Live cells</vt:lpstr>
      <vt:lpstr>CD34-</vt:lpstr>
      <vt:lpstr>CD15+CD34-</vt:lpstr>
      <vt:lpstr>CD34+</vt:lpstr>
      <vt:lpstr>CD34+CD38+</vt:lpstr>
      <vt:lpstr>CD34+CD38-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Iasenza</dc:creator>
  <cp:lastModifiedBy>Isabella Iasenza</cp:lastModifiedBy>
  <dcterms:created xsi:type="dcterms:W3CDTF">2024-01-22T15:48:31Z</dcterms:created>
  <dcterms:modified xsi:type="dcterms:W3CDTF">2024-01-22T16:14:53Z</dcterms:modified>
</cp:coreProperties>
</file>