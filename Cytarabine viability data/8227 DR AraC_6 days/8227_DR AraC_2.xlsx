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17 8227 P7_DR AraC_trial 2/"/>
    </mc:Choice>
  </mc:AlternateContent>
  <xr:revisionPtr revIDLastSave="0" documentId="13_ncr:1_{90980201-B609-B94F-A659-3D6904694A2E}" xr6:coauthVersionLast="47" xr6:coauthVersionMax="47" xr10:uidLastSave="{00000000-0000-0000-0000-000000000000}"/>
  <bookViews>
    <workbookView xWindow="0" yWindow="500" windowWidth="28420" windowHeight="16080" activeTab="6" xr2:uid="{15400350-3218-1245-8FFA-99667100601B}"/>
  </bookViews>
  <sheets>
    <sheet name="Raw data" sheetId="1" r:id="rId1"/>
    <sheet name="Live cells" sheetId="2" r:id="rId2"/>
    <sheet name="CD34-" sheetId="3" r:id="rId3"/>
    <sheet name="CD15+CD34-" sheetId="4" r:id="rId4"/>
    <sheet name="CD34+" sheetId="5" r:id="rId5"/>
    <sheet name="CD34+CD38+" sheetId="6" r:id="rId6"/>
    <sheet name="CD34+CD38-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" i="7" s="1"/>
  <c r="E20" i="7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2" l="1"/>
  <c r="E20" i="2" s="1"/>
  <c r="E19" i="7"/>
  <c r="E11" i="7"/>
  <c r="E4" i="7"/>
  <c r="E3" i="7"/>
  <c r="E7" i="7"/>
  <c r="E15" i="7"/>
  <c r="E5" i="7"/>
  <c r="E9" i="7"/>
  <c r="E13" i="7"/>
  <c r="E17" i="7"/>
  <c r="E21" i="7"/>
  <c r="D2" i="4"/>
  <c r="E8" i="4" s="1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18" i="4"/>
  <c r="E5" i="6"/>
  <c r="E9" i="6"/>
  <c r="E13" i="6"/>
  <c r="E17" i="6"/>
  <c r="E21" i="6"/>
  <c r="E2" i="7"/>
  <c r="E8" i="7"/>
  <c r="E18" i="7"/>
  <c r="D2" i="5"/>
  <c r="E6" i="7"/>
  <c r="E10" i="7"/>
  <c r="E14" i="7"/>
  <c r="E16" i="7"/>
  <c r="E22" i="7"/>
  <c r="D2" i="3"/>
  <c r="E22" i="3" s="1"/>
  <c r="E12" i="7"/>
  <c r="E10" i="2" l="1"/>
  <c r="E15" i="2"/>
  <c r="E16" i="2"/>
  <c r="E7" i="2"/>
  <c r="E2" i="2"/>
  <c r="E8" i="2"/>
  <c r="E9" i="2"/>
  <c r="E18" i="2"/>
  <c r="E13" i="2"/>
  <c r="E6" i="2"/>
  <c r="E22" i="2"/>
  <c r="E11" i="2"/>
  <c r="E4" i="2"/>
  <c r="E17" i="2"/>
  <c r="E12" i="2"/>
  <c r="E5" i="2"/>
  <c r="E21" i="2"/>
  <c r="E14" i="2"/>
  <c r="E3" i="2"/>
  <c r="E19" i="2"/>
  <c r="E3" i="4"/>
  <c r="E19" i="4"/>
  <c r="E16" i="4"/>
  <c r="E10" i="4"/>
  <c r="E7" i="4"/>
  <c r="E15" i="4"/>
  <c r="E4" i="4"/>
  <c r="E22" i="4"/>
  <c r="E6" i="4"/>
  <c r="E9" i="4"/>
  <c r="E17" i="4"/>
  <c r="E11" i="4"/>
  <c r="E20" i="4"/>
  <c r="E2" i="4"/>
  <c r="E14" i="4"/>
  <c r="E5" i="4"/>
  <c r="E13" i="4"/>
  <c r="E21" i="4"/>
  <c r="E12" i="4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<sst xmlns="http://schemas.openxmlformats.org/spreadsheetml/2006/main" count="184" uniqueCount="31">
  <si>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</si>
  <si>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</si>
  <si>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</si>
  <si>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</si>
  <si>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</si>
  <si>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</si>
  <si>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</si>
  <si>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</si>
  <si>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</si>
  <si>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</si>
  <si>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</si>
  <si>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</si>
  <si>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</si>
  <si>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</si>
  <si>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</si>
  <si>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</si>
  <si>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</si>
  <si>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</si>
  <si>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</si>
  <si>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DMSO_8227_B2_B02_001.fcs</t>
  </si>
  <si>
    <t>DMSO_8227_C2_C02_002.fcs</t>
  </si>
  <si>
    <t>DMSO_8227_D2_D02_003.fcs</t>
  </si>
  <si>
    <t>CD15+CD34-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</si>
  <si>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</si>
  <si>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</si>
  <si>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</si>
  <si>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</si>
  <si>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</si>
  <si>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</si>
  <si>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</si>
  <si>
    <t>LIVE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</si>
</sst>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G22"/>
  <sheetViews>
    <sheetView workbookViewId="0">
      <selection activeCell="F1" sqref="F1:F1048576"/>
    </sheetView>
  </sheetViews>
  <sheetFormatPr baseColWidth="10" defaultRowHeight="16" x14ac:dyDescent="0.2"/>
  <cols>
    <col min="4" max="5" width="13.33203125" customWidth="1"/>
    <col min="6" max="6" width="14.83203125" customWidth="1"/>
  </cols>
  <sheetData>
    <row r="1" spans="1:7" x14ac:dyDescent="0.2">
      <c r="A1" t="s">
        <v>0</v>
      </c>
      <c r="B1" t="s">
        <v>30</v>
      </c>
      <c r="C1" t="s">
        <v>23</v>
      </c>
      <c r="D1" t="s">
        <v>25</v>
      </c>
      <c r="E1" t="s">
        <v>22</v>
      </c>
      <c r="F1" t="s">
        <v>26</v>
      </c>
      <c r="G1" t="s">
        <v>24</v>
      </c>
    </row>
    <row r="2" spans="1:7" x14ac:dyDescent="0.2">
      <c r="A2" t="s">
        <v>19</v>
      </c>
      <c r="B2">
        <v>42614</v>
      </c>
      <c r="C2">
        <v>5382</v>
      </c>
      <c r="D2">
        <v>3541</v>
      </c>
      <c r="E2">
        <v>9716</v>
      </c>
      <c r="F2">
        <v>1892</v>
      </c>
      <c r="G2">
        <v>36391</v>
      </c>
    </row>
    <row r="3" spans="1:7" x14ac:dyDescent="0.2">
      <c r="A3" t="s">
        <v>20</v>
      </c>
      <c r="B3">
        <v>39550</v>
      </c>
      <c r="C3">
        <v>5180</v>
      </c>
      <c r="D3">
        <v>3327</v>
      </c>
      <c r="E3">
        <v>8172</v>
      </c>
      <c r="F3">
        <v>1928</v>
      </c>
      <c r="G3">
        <v>33450</v>
      </c>
    </row>
    <row r="4" spans="1:7" x14ac:dyDescent="0.2">
      <c r="A4" t="s">
        <v>21</v>
      </c>
      <c r="B4">
        <v>36620</v>
      </c>
      <c r="C4">
        <v>4690</v>
      </c>
      <c r="D4">
        <v>3229</v>
      </c>
      <c r="E4">
        <v>5476</v>
      </c>
      <c r="F4">
        <v>1531</v>
      </c>
      <c r="G4">
        <v>30952</v>
      </c>
    </row>
    <row r="5" spans="1:7" x14ac:dyDescent="0.2">
      <c r="A5" t="s">
        <v>1</v>
      </c>
      <c r="B5">
        <v>38179</v>
      </c>
      <c r="C5">
        <v>4536</v>
      </c>
      <c r="D5">
        <v>2987</v>
      </c>
      <c r="E5">
        <v>6530</v>
      </c>
      <c r="F5">
        <v>1591</v>
      </c>
      <c r="G5">
        <v>32974</v>
      </c>
    </row>
    <row r="6" spans="1:7" x14ac:dyDescent="0.2">
      <c r="A6" t="s">
        <v>2</v>
      </c>
      <c r="B6">
        <v>36651</v>
      </c>
      <c r="C6">
        <v>4104</v>
      </c>
      <c r="D6">
        <v>2861</v>
      </c>
      <c r="E6">
        <v>6564</v>
      </c>
      <c r="F6">
        <v>1305</v>
      </c>
      <c r="G6">
        <v>31730</v>
      </c>
    </row>
    <row r="7" spans="1:7" x14ac:dyDescent="0.2">
      <c r="A7" t="s">
        <v>3</v>
      </c>
      <c r="B7">
        <v>40195</v>
      </c>
      <c r="C7">
        <v>4719</v>
      </c>
      <c r="D7">
        <v>3067</v>
      </c>
      <c r="E7">
        <v>5434</v>
      </c>
      <c r="F7">
        <v>1722</v>
      </c>
      <c r="G7">
        <v>34521</v>
      </c>
    </row>
    <row r="8" spans="1:7" x14ac:dyDescent="0.2">
      <c r="A8" t="s">
        <v>4</v>
      </c>
      <c r="B8">
        <v>29152</v>
      </c>
      <c r="C8">
        <v>3189</v>
      </c>
      <c r="D8">
        <v>2386</v>
      </c>
      <c r="E8">
        <v>3673</v>
      </c>
      <c r="F8">
        <v>820</v>
      </c>
      <c r="G8">
        <v>25466</v>
      </c>
    </row>
    <row r="9" spans="1:7" x14ac:dyDescent="0.2">
      <c r="A9" t="s">
        <v>5</v>
      </c>
      <c r="B9">
        <v>32307</v>
      </c>
      <c r="C9">
        <v>3746</v>
      </c>
      <c r="D9">
        <v>2817</v>
      </c>
      <c r="E9">
        <v>3597</v>
      </c>
      <c r="F9">
        <v>983</v>
      </c>
      <c r="G9">
        <v>27899</v>
      </c>
    </row>
    <row r="10" spans="1:7" x14ac:dyDescent="0.2">
      <c r="A10" t="s">
        <v>6</v>
      </c>
      <c r="B10">
        <v>31415</v>
      </c>
      <c r="C10">
        <v>3531</v>
      </c>
      <c r="D10">
        <v>2859</v>
      </c>
      <c r="E10">
        <v>2368</v>
      </c>
      <c r="F10">
        <v>734</v>
      </c>
      <c r="G10">
        <v>27272</v>
      </c>
    </row>
    <row r="11" spans="1:7" x14ac:dyDescent="0.2">
      <c r="A11" t="s">
        <v>7</v>
      </c>
      <c r="B11">
        <v>8919</v>
      </c>
      <c r="C11">
        <v>454</v>
      </c>
      <c r="D11">
        <v>308</v>
      </c>
      <c r="E11">
        <v>970</v>
      </c>
      <c r="F11">
        <v>150</v>
      </c>
      <c r="G11">
        <v>8356</v>
      </c>
    </row>
    <row r="12" spans="1:7" x14ac:dyDescent="0.2">
      <c r="A12" t="s">
        <v>8</v>
      </c>
      <c r="B12">
        <v>10612</v>
      </c>
      <c r="C12">
        <v>596</v>
      </c>
      <c r="D12">
        <v>491</v>
      </c>
      <c r="E12">
        <v>1103</v>
      </c>
      <c r="F12">
        <v>111</v>
      </c>
      <c r="G12">
        <v>9877</v>
      </c>
    </row>
    <row r="13" spans="1:7" x14ac:dyDescent="0.2">
      <c r="A13" t="s">
        <v>9</v>
      </c>
      <c r="B13">
        <v>9258</v>
      </c>
      <c r="C13">
        <v>583</v>
      </c>
      <c r="D13">
        <v>446</v>
      </c>
      <c r="E13">
        <v>817</v>
      </c>
      <c r="F13">
        <v>141</v>
      </c>
      <c r="G13">
        <v>8524</v>
      </c>
    </row>
    <row r="14" spans="1:7" x14ac:dyDescent="0.2">
      <c r="A14" t="s">
        <v>10</v>
      </c>
      <c r="B14">
        <v>1247</v>
      </c>
      <c r="C14">
        <v>9</v>
      </c>
      <c r="D14">
        <v>4</v>
      </c>
      <c r="E14">
        <v>256</v>
      </c>
      <c r="F14">
        <v>6</v>
      </c>
      <c r="G14">
        <v>1216</v>
      </c>
    </row>
    <row r="15" spans="1:7" x14ac:dyDescent="0.2">
      <c r="A15" t="s">
        <v>11</v>
      </c>
      <c r="B15">
        <v>1408</v>
      </c>
      <c r="C15">
        <v>6</v>
      </c>
      <c r="D15">
        <v>4</v>
      </c>
      <c r="E15">
        <v>298</v>
      </c>
      <c r="F15">
        <v>2</v>
      </c>
      <c r="G15">
        <v>1361</v>
      </c>
    </row>
    <row r="16" spans="1:7" x14ac:dyDescent="0.2">
      <c r="A16" t="s">
        <v>12</v>
      </c>
      <c r="B16">
        <v>1389</v>
      </c>
      <c r="C16">
        <v>13</v>
      </c>
      <c r="D16">
        <v>6</v>
      </c>
      <c r="E16">
        <v>243</v>
      </c>
      <c r="F16">
        <v>8</v>
      </c>
      <c r="G16">
        <v>1333</v>
      </c>
    </row>
    <row r="17" spans="1:7" x14ac:dyDescent="0.2">
      <c r="A17" t="s">
        <v>13</v>
      </c>
      <c r="B17">
        <v>375</v>
      </c>
      <c r="C17">
        <v>2</v>
      </c>
      <c r="D17">
        <v>1</v>
      </c>
      <c r="E17">
        <v>33</v>
      </c>
      <c r="F17">
        <v>1</v>
      </c>
      <c r="G17">
        <v>360</v>
      </c>
    </row>
    <row r="18" spans="1:7" x14ac:dyDescent="0.2">
      <c r="A18" t="s">
        <v>14</v>
      </c>
      <c r="B18">
        <v>332</v>
      </c>
      <c r="C18">
        <v>3</v>
      </c>
      <c r="D18">
        <v>1</v>
      </c>
      <c r="E18">
        <v>38</v>
      </c>
      <c r="F18">
        <v>3</v>
      </c>
      <c r="G18">
        <v>309</v>
      </c>
    </row>
    <row r="19" spans="1:7" x14ac:dyDescent="0.2">
      <c r="A19" t="s">
        <v>15</v>
      </c>
      <c r="B19">
        <v>320</v>
      </c>
      <c r="C19">
        <v>5</v>
      </c>
      <c r="D19">
        <v>2</v>
      </c>
      <c r="E19">
        <v>42</v>
      </c>
      <c r="F19">
        <v>3</v>
      </c>
      <c r="G19">
        <v>306</v>
      </c>
    </row>
    <row r="20" spans="1:7" x14ac:dyDescent="0.2">
      <c r="A20" t="s">
        <v>16</v>
      </c>
      <c r="B20">
        <v>304</v>
      </c>
      <c r="C20">
        <v>2</v>
      </c>
      <c r="D20">
        <v>0</v>
      </c>
      <c r="E20">
        <v>35</v>
      </c>
      <c r="F20">
        <v>2</v>
      </c>
      <c r="G20">
        <v>290</v>
      </c>
    </row>
    <row r="21" spans="1:7" x14ac:dyDescent="0.2">
      <c r="A21" t="s">
        <v>17</v>
      </c>
      <c r="B21">
        <v>311</v>
      </c>
      <c r="C21">
        <v>3</v>
      </c>
      <c r="D21">
        <v>1</v>
      </c>
      <c r="E21">
        <v>35</v>
      </c>
      <c r="F21">
        <v>2</v>
      </c>
      <c r="G21">
        <v>287</v>
      </c>
    </row>
    <row r="22" spans="1:7" x14ac:dyDescent="0.2">
      <c r="A22" t="s">
        <v>18</v>
      </c>
      <c r="B22">
        <v>297</v>
      </c>
      <c r="C22">
        <v>3</v>
      </c>
      <c r="D22">
        <v>0</v>
      </c>
      <c r="E22">
        <v>24</v>
      </c>
      <c r="F22">
        <v>3</v>
      </c>
      <c r="G22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30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42614</v>
      </c>
      <c r="C2">
        <f>((B2*200/50)*(100/90))</f>
        <v>189395.55555555556</v>
      </c>
      <c r="D2">
        <f>AVERAGE(C2:C4)</f>
        <v>175976.29629629632</v>
      </c>
      <c r="E2">
        <f>(C2/$D$2)*100</f>
        <v>107.62560614224137</v>
      </c>
    </row>
    <row r="3" spans="1:5" x14ac:dyDescent="0.2">
      <c r="A3" t="s">
        <v>20</v>
      </c>
      <c r="B3">
        <v>39550</v>
      </c>
      <c r="C3">
        <f t="shared" ref="C3:C22" si="0">((B3*200/50)*(100/90))</f>
        <v>175777.77777777778</v>
      </c>
      <c r="E3">
        <f t="shared" ref="E3:E22" si="1">(C3/$D$2)*100</f>
        <v>99.887190193965509</v>
      </c>
    </row>
    <row r="4" spans="1:5" x14ac:dyDescent="0.2">
      <c r="A4" t="s">
        <v>21</v>
      </c>
      <c r="B4">
        <v>36620</v>
      </c>
      <c r="C4">
        <f t="shared" si="0"/>
        <v>162755.55555555556</v>
      </c>
      <c r="E4">
        <f t="shared" si="1"/>
        <v>92.487203663793096</v>
      </c>
    </row>
    <row r="5" spans="1:5" x14ac:dyDescent="0.2">
      <c r="A5" t="s">
        <v>1</v>
      </c>
      <c r="B5">
        <v>38179</v>
      </c>
      <c r="C5">
        <f t="shared" si="0"/>
        <v>169684.44444444444</v>
      </c>
      <c r="E5">
        <f t="shared" si="1"/>
        <v>96.424602640086192</v>
      </c>
    </row>
    <row r="6" spans="1:5" x14ac:dyDescent="0.2">
      <c r="A6" t="s">
        <v>2</v>
      </c>
      <c r="B6">
        <v>36651</v>
      </c>
      <c r="C6">
        <f t="shared" si="0"/>
        <v>162893.33333333334</v>
      </c>
      <c r="E6">
        <f t="shared" si="1"/>
        <v>92.565497036637922</v>
      </c>
    </row>
    <row r="7" spans="1:5" x14ac:dyDescent="0.2">
      <c r="A7" t="s">
        <v>3</v>
      </c>
      <c r="B7">
        <v>40195</v>
      </c>
      <c r="C7">
        <f t="shared" si="0"/>
        <v>178644.44444444444</v>
      </c>
      <c r="E7">
        <f t="shared" si="1"/>
        <v>101.5161974676724</v>
      </c>
    </row>
    <row r="8" spans="1:5" x14ac:dyDescent="0.2">
      <c r="A8" t="s">
        <v>4</v>
      </c>
      <c r="B8">
        <v>29152</v>
      </c>
      <c r="C8">
        <f t="shared" si="0"/>
        <v>129564.44444444445</v>
      </c>
      <c r="E8">
        <f t="shared" si="1"/>
        <v>73.62607758620689</v>
      </c>
    </row>
    <row r="9" spans="1:5" x14ac:dyDescent="0.2">
      <c r="A9" t="s">
        <v>5</v>
      </c>
      <c r="B9">
        <v>32307</v>
      </c>
      <c r="C9">
        <f t="shared" si="0"/>
        <v>143586.66666666669</v>
      </c>
      <c r="E9">
        <f t="shared" si="1"/>
        <v>81.594322467672413</v>
      </c>
    </row>
    <row r="10" spans="1:5" x14ac:dyDescent="0.2">
      <c r="A10" t="s">
        <v>6</v>
      </c>
      <c r="B10">
        <v>31415</v>
      </c>
      <c r="C10">
        <f t="shared" si="0"/>
        <v>139622.22222222222</v>
      </c>
      <c r="E10">
        <f t="shared" si="1"/>
        <v>79.341493803879288</v>
      </c>
    </row>
    <row r="11" spans="1:5" x14ac:dyDescent="0.2">
      <c r="A11" t="s">
        <v>7</v>
      </c>
      <c r="B11">
        <v>8919</v>
      </c>
      <c r="C11">
        <f t="shared" si="0"/>
        <v>39640</v>
      </c>
      <c r="E11">
        <f t="shared" si="1"/>
        <v>22.525761045258619</v>
      </c>
    </row>
    <row r="12" spans="1:5" x14ac:dyDescent="0.2">
      <c r="A12" t="s">
        <v>8</v>
      </c>
      <c r="B12">
        <v>10612</v>
      </c>
      <c r="C12">
        <f t="shared" si="0"/>
        <v>47164.444444444445</v>
      </c>
      <c r="E12">
        <f t="shared" si="1"/>
        <v>26.801589439655171</v>
      </c>
    </row>
    <row r="13" spans="1:5" x14ac:dyDescent="0.2">
      <c r="A13" t="s">
        <v>9</v>
      </c>
      <c r="B13">
        <v>9258</v>
      </c>
      <c r="C13">
        <f t="shared" si="0"/>
        <v>41146.666666666672</v>
      </c>
      <c r="E13">
        <f t="shared" si="1"/>
        <v>23.381936961206897</v>
      </c>
    </row>
    <row r="14" spans="1:5" x14ac:dyDescent="0.2">
      <c r="A14" t="s">
        <v>10</v>
      </c>
      <c r="B14">
        <v>1247</v>
      </c>
      <c r="C14">
        <f t="shared" si="0"/>
        <v>5542.2222222222226</v>
      </c>
      <c r="E14">
        <f t="shared" si="1"/>
        <v>3.1494140625</v>
      </c>
    </row>
    <row r="15" spans="1:5" x14ac:dyDescent="0.2">
      <c r="A15" t="s">
        <v>11</v>
      </c>
      <c r="B15">
        <v>1408</v>
      </c>
      <c r="C15">
        <f t="shared" si="0"/>
        <v>6257.7777777777783</v>
      </c>
      <c r="E15">
        <f t="shared" si="1"/>
        <v>3.5560344827586201</v>
      </c>
    </row>
    <row r="16" spans="1:5" x14ac:dyDescent="0.2">
      <c r="A16" t="s">
        <v>12</v>
      </c>
      <c r="B16">
        <v>1389</v>
      </c>
      <c r="C16">
        <f t="shared" si="0"/>
        <v>6173.3333333333339</v>
      </c>
      <c r="E16">
        <f t="shared" si="1"/>
        <v>3.5080482219827585</v>
      </c>
    </row>
    <row r="17" spans="1:5" x14ac:dyDescent="0.2">
      <c r="A17" t="s">
        <v>13</v>
      </c>
      <c r="B17">
        <v>375</v>
      </c>
      <c r="C17">
        <f t="shared" si="0"/>
        <v>1666.6666666666667</v>
      </c>
      <c r="E17">
        <f t="shared" si="1"/>
        <v>0.94709725215517226</v>
      </c>
    </row>
    <row r="18" spans="1:5" x14ac:dyDescent="0.2">
      <c r="A18" t="s">
        <v>14</v>
      </c>
      <c r="B18">
        <v>332</v>
      </c>
      <c r="C18">
        <f t="shared" si="0"/>
        <v>1475.5555555555557</v>
      </c>
      <c r="E18">
        <f t="shared" si="1"/>
        <v>0.83849676724137934</v>
      </c>
    </row>
    <row r="19" spans="1:5" x14ac:dyDescent="0.2">
      <c r="A19" t="s">
        <v>15</v>
      </c>
      <c r="B19">
        <v>320</v>
      </c>
      <c r="C19">
        <f t="shared" si="0"/>
        <v>1422.2222222222222</v>
      </c>
      <c r="E19">
        <f t="shared" si="1"/>
        <v>0.8081896551724137</v>
      </c>
    </row>
    <row r="20" spans="1:5" x14ac:dyDescent="0.2">
      <c r="A20" t="s">
        <v>16</v>
      </c>
      <c r="B20">
        <v>304</v>
      </c>
      <c r="C20">
        <f t="shared" si="0"/>
        <v>1351.1111111111111</v>
      </c>
      <c r="E20">
        <f t="shared" si="1"/>
        <v>0.76778017241379304</v>
      </c>
    </row>
    <row r="21" spans="1:5" x14ac:dyDescent="0.2">
      <c r="A21" t="s">
        <v>17</v>
      </c>
      <c r="B21">
        <v>311</v>
      </c>
      <c r="C21">
        <f t="shared" si="0"/>
        <v>1382.2222222222222</v>
      </c>
      <c r="E21">
        <f t="shared" si="1"/>
        <v>0.78545932112068961</v>
      </c>
    </row>
    <row r="22" spans="1:5" x14ac:dyDescent="0.2">
      <c r="A22" t="s">
        <v>18</v>
      </c>
      <c r="B22">
        <v>297</v>
      </c>
      <c r="C22">
        <f t="shared" si="0"/>
        <v>1320</v>
      </c>
      <c r="E22">
        <f t="shared" si="1"/>
        <v>0.75010102370689635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24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36391</v>
      </c>
      <c r="C2">
        <f>((B2*200/50)*(100/90))</f>
        <v>161737.77777777778</v>
      </c>
      <c r="D2">
        <f>AVERAGE(C2:C4)</f>
        <v>149322.96296296298</v>
      </c>
      <c r="E2">
        <f>(C2/$D$2)*100</f>
        <v>108.31406942942465</v>
      </c>
    </row>
    <row r="3" spans="1:5" x14ac:dyDescent="0.2">
      <c r="A3" t="s">
        <v>20</v>
      </c>
      <c r="B3">
        <v>33450</v>
      </c>
      <c r="C3">
        <f t="shared" ref="C3:C22" si="0">((B3*200/50)*(100/90))</f>
        <v>148666.66666666669</v>
      </c>
      <c r="E3">
        <f t="shared" ref="E3:E22" si="1">(C3/$D$2)*100</f>
        <v>99.560485351165255</v>
      </c>
    </row>
    <row r="4" spans="1:5" x14ac:dyDescent="0.2">
      <c r="A4" t="s">
        <v>21</v>
      </c>
      <c r="B4">
        <v>30952</v>
      </c>
      <c r="C4">
        <f t="shared" si="0"/>
        <v>137564.44444444444</v>
      </c>
      <c r="E4">
        <f t="shared" si="1"/>
        <v>92.125445219410068</v>
      </c>
    </row>
    <row r="5" spans="1:5" x14ac:dyDescent="0.2">
      <c r="A5" t="s">
        <v>1</v>
      </c>
      <c r="B5">
        <v>32974</v>
      </c>
      <c r="C5">
        <f t="shared" si="0"/>
        <v>146551.11111111112</v>
      </c>
      <c r="E5">
        <f t="shared" si="1"/>
        <v>98.14372029803657</v>
      </c>
    </row>
    <row r="6" spans="1:5" x14ac:dyDescent="0.2">
      <c r="A6" t="s">
        <v>2</v>
      </c>
      <c r="B6">
        <v>31730</v>
      </c>
      <c r="C6">
        <f t="shared" si="0"/>
        <v>141022.22222222222</v>
      </c>
      <c r="E6">
        <f t="shared" si="1"/>
        <v>94.441082218011161</v>
      </c>
    </row>
    <row r="7" spans="1:5" x14ac:dyDescent="0.2">
      <c r="A7" t="s">
        <v>3</v>
      </c>
      <c r="B7">
        <v>34521</v>
      </c>
      <c r="C7">
        <f t="shared" si="0"/>
        <v>153426.66666666669</v>
      </c>
      <c r="E7">
        <f t="shared" si="1"/>
        <v>102.74820672070481</v>
      </c>
    </row>
    <row r="8" spans="1:5" x14ac:dyDescent="0.2">
      <c r="A8" t="s">
        <v>4</v>
      </c>
      <c r="B8">
        <v>25466</v>
      </c>
      <c r="C8">
        <f t="shared" si="0"/>
        <v>113182.22222222223</v>
      </c>
      <c r="E8">
        <f t="shared" si="1"/>
        <v>75.796930342384883</v>
      </c>
    </row>
    <row r="9" spans="1:5" x14ac:dyDescent="0.2">
      <c r="A9" t="s">
        <v>5</v>
      </c>
      <c r="B9">
        <v>27899</v>
      </c>
      <c r="C9">
        <f t="shared" si="0"/>
        <v>123995.55555555556</v>
      </c>
      <c r="E9">
        <f t="shared" si="1"/>
        <v>83.038504658061569</v>
      </c>
    </row>
    <row r="10" spans="1:5" x14ac:dyDescent="0.2">
      <c r="A10" t="s">
        <v>6</v>
      </c>
      <c r="B10">
        <v>27272</v>
      </c>
      <c r="C10">
        <f t="shared" si="0"/>
        <v>121208.88888888889</v>
      </c>
      <c r="E10">
        <f t="shared" si="1"/>
        <v>81.172303632196673</v>
      </c>
    </row>
    <row r="11" spans="1:5" x14ac:dyDescent="0.2">
      <c r="A11" t="s">
        <v>7</v>
      </c>
      <c r="B11">
        <v>8356</v>
      </c>
      <c r="C11">
        <f t="shared" si="0"/>
        <v>37137.777777777781</v>
      </c>
      <c r="E11">
        <f t="shared" si="1"/>
        <v>24.870774756183465</v>
      </c>
    </row>
    <row r="12" spans="1:5" x14ac:dyDescent="0.2">
      <c r="A12" t="s">
        <v>8</v>
      </c>
      <c r="B12">
        <v>9877</v>
      </c>
      <c r="C12">
        <f t="shared" si="0"/>
        <v>43897.777777777781</v>
      </c>
      <c r="E12">
        <f t="shared" si="1"/>
        <v>29.397874852420308</v>
      </c>
    </row>
    <row r="13" spans="1:5" x14ac:dyDescent="0.2">
      <c r="A13" t="s">
        <v>9</v>
      </c>
      <c r="B13">
        <v>8524</v>
      </c>
      <c r="C13">
        <f t="shared" si="0"/>
        <v>37884.444444444445</v>
      </c>
      <c r="E13">
        <f t="shared" si="1"/>
        <v>25.370809480817119</v>
      </c>
    </row>
    <row r="14" spans="1:5" x14ac:dyDescent="0.2">
      <c r="A14" t="s">
        <v>10</v>
      </c>
      <c r="B14">
        <v>1216</v>
      </c>
      <c r="C14">
        <f t="shared" si="0"/>
        <v>5404.4444444444443</v>
      </c>
      <c r="E14">
        <f t="shared" si="1"/>
        <v>3.619298959253122</v>
      </c>
    </row>
    <row r="15" spans="1:5" x14ac:dyDescent="0.2">
      <c r="A15" t="s">
        <v>11</v>
      </c>
      <c r="B15">
        <v>1361</v>
      </c>
      <c r="C15">
        <f t="shared" si="0"/>
        <v>6048.8888888888896</v>
      </c>
      <c r="E15">
        <f t="shared" si="1"/>
        <v>4.050876548966694</v>
      </c>
    </row>
    <row r="16" spans="1:5" x14ac:dyDescent="0.2">
      <c r="A16" t="s">
        <v>12</v>
      </c>
      <c r="B16">
        <v>1333</v>
      </c>
      <c r="C16">
        <f t="shared" si="0"/>
        <v>5924.4444444444443</v>
      </c>
      <c r="E16">
        <f t="shared" si="1"/>
        <v>3.9675374281944178</v>
      </c>
    </row>
    <row r="17" spans="1:5" x14ac:dyDescent="0.2">
      <c r="A17" t="s">
        <v>13</v>
      </c>
      <c r="B17">
        <v>360</v>
      </c>
      <c r="C17">
        <f t="shared" si="0"/>
        <v>1600</v>
      </c>
      <c r="E17">
        <f t="shared" si="1"/>
        <v>1.0715029813578323</v>
      </c>
    </row>
    <row r="18" spans="1:5" x14ac:dyDescent="0.2">
      <c r="A18" t="s">
        <v>14</v>
      </c>
      <c r="B18">
        <v>309</v>
      </c>
      <c r="C18">
        <f t="shared" si="0"/>
        <v>1373.3333333333335</v>
      </c>
      <c r="E18">
        <f t="shared" si="1"/>
        <v>0.91970672566547285</v>
      </c>
    </row>
    <row r="19" spans="1:5" x14ac:dyDescent="0.2">
      <c r="A19" t="s">
        <v>15</v>
      </c>
      <c r="B19">
        <v>306</v>
      </c>
      <c r="C19">
        <f t="shared" si="0"/>
        <v>1360</v>
      </c>
      <c r="E19">
        <f t="shared" si="1"/>
        <v>0.91077753415415752</v>
      </c>
    </row>
    <row r="20" spans="1:5" x14ac:dyDescent="0.2">
      <c r="A20" t="s">
        <v>16</v>
      </c>
      <c r="B20">
        <v>290</v>
      </c>
      <c r="C20">
        <f t="shared" si="0"/>
        <v>1288.8888888888889</v>
      </c>
      <c r="E20">
        <f t="shared" si="1"/>
        <v>0.86315517942714282</v>
      </c>
    </row>
    <row r="21" spans="1:5" x14ac:dyDescent="0.2">
      <c r="A21" t="s">
        <v>17</v>
      </c>
      <c r="B21">
        <v>287</v>
      </c>
      <c r="C21">
        <f t="shared" si="0"/>
        <v>1275.5555555555557</v>
      </c>
      <c r="E21">
        <f t="shared" si="1"/>
        <v>0.85422598791582738</v>
      </c>
    </row>
    <row r="22" spans="1:5" x14ac:dyDescent="0.2">
      <c r="A22" t="s">
        <v>18</v>
      </c>
      <c r="B22">
        <v>283</v>
      </c>
      <c r="C22">
        <f t="shared" si="0"/>
        <v>1257.7777777777778</v>
      </c>
      <c r="E22">
        <f t="shared" si="1"/>
        <v>0.84232039923407376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17AB-BE72-FC4B-8806-63BD358F20ED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3.3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9716</v>
      </c>
      <c r="C2">
        <f>((B2*200/50)*(100/90))</f>
        <v>43182.222222222226</v>
      </c>
      <c r="D2">
        <f>AVERAGE(C2:C4)</f>
        <v>34613.333333333336</v>
      </c>
      <c r="E2">
        <f>(C2/$D$2)*100</f>
        <v>124.75603492552645</v>
      </c>
    </row>
    <row r="3" spans="1:5" x14ac:dyDescent="0.2">
      <c r="A3" t="s">
        <v>20</v>
      </c>
      <c r="B3">
        <v>8172</v>
      </c>
      <c r="C3">
        <f t="shared" ref="C3:C22" si="0">((B3*200/50)*(100/90))</f>
        <v>36320</v>
      </c>
      <c r="E3">
        <f t="shared" ref="E3:E22" si="1">(C3/$D$2)*100</f>
        <v>104.93066255778119</v>
      </c>
    </row>
    <row r="4" spans="1:5" x14ac:dyDescent="0.2">
      <c r="A4" t="s">
        <v>21</v>
      </c>
      <c r="B4">
        <v>5476</v>
      </c>
      <c r="C4">
        <f t="shared" si="0"/>
        <v>24337.777777777777</v>
      </c>
      <c r="E4">
        <f t="shared" si="1"/>
        <v>70.313302516692346</v>
      </c>
    </row>
    <row r="5" spans="1:5" x14ac:dyDescent="0.2">
      <c r="A5" t="s">
        <v>1</v>
      </c>
      <c r="B5">
        <v>6530</v>
      </c>
      <c r="C5">
        <f t="shared" si="0"/>
        <v>29022.222222222223</v>
      </c>
      <c r="E5">
        <f t="shared" si="1"/>
        <v>83.846944016435529</v>
      </c>
    </row>
    <row r="6" spans="1:5" x14ac:dyDescent="0.2">
      <c r="A6" t="s">
        <v>2</v>
      </c>
      <c r="B6">
        <v>6564</v>
      </c>
      <c r="C6">
        <f t="shared" si="0"/>
        <v>29173.333333333336</v>
      </c>
      <c r="E6">
        <f t="shared" si="1"/>
        <v>84.283513097072415</v>
      </c>
    </row>
    <row r="7" spans="1:5" x14ac:dyDescent="0.2">
      <c r="A7" t="s">
        <v>3</v>
      </c>
      <c r="B7">
        <v>5434</v>
      </c>
      <c r="C7">
        <f t="shared" si="0"/>
        <v>24151.111111111113</v>
      </c>
      <c r="E7">
        <f t="shared" si="1"/>
        <v>69.774011299435017</v>
      </c>
    </row>
    <row r="8" spans="1:5" x14ac:dyDescent="0.2">
      <c r="A8" t="s">
        <v>4</v>
      </c>
      <c r="B8">
        <v>3673</v>
      </c>
      <c r="C8">
        <f t="shared" si="0"/>
        <v>16324.444444444445</v>
      </c>
      <c r="E8">
        <f t="shared" si="1"/>
        <v>47.162300975860298</v>
      </c>
    </row>
    <row r="9" spans="1:5" x14ac:dyDescent="0.2">
      <c r="A9" t="s">
        <v>5</v>
      </c>
      <c r="B9">
        <v>3597</v>
      </c>
      <c r="C9">
        <f t="shared" si="0"/>
        <v>15986.666666666668</v>
      </c>
      <c r="E9">
        <f t="shared" si="1"/>
        <v>46.186440677966104</v>
      </c>
    </row>
    <row r="10" spans="1:5" x14ac:dyDescent="0.2">
      <c r="A10" t="s">
        <v>6</v>
      </c>
      <c r="B10">
        <v>2368</v>
      </c>
      <c r="C10">
        <f t="shared" si="0"/>
        <v>10524.444444444445</v>
      </c>
      <c r="E10">
        <f t="shared" si="1"/>
        <v>30.405752439650747</v>
      </c>
    </row>
    <row r="11" spans="1:5" x14ac:dyDescent="0.2">
      <c r="A11" t="s">
        <v>7</v>
      </c>
      <c r="B11">
        <v>970</v>
      </c>
      <c r="C11">
        <f t="shared" si="0"/>
        <v>4311.1111111111113</v>
      </c>
      <c r="E11">
        <f t="shared" si="1"/>
        <v>12.455059065228555</v>
      </c>
    </row>
    <row r="12" spans="1:5" x14ac:dyDescent="0.2">
      <c r="A12" t="s">
        <v>8</v>
      </c>
      <c r="B12">
        <v>1103</v>
      </c>
      <c r="C12">
        <f t="shared" si="0"/>
        <v>4902.2222222222226</v>
      </c>
      <c r="E12">
        <f t="shared" si="1"/>
        <v>14.162814586543401</v>
      </c>
    </row>
    <row r="13" spans="1:5" x14ac:dyDescent="0.2">
      <c r="A13" t="s">
        <v>9</v>
      </c>
      <c r="B13">
        <v>817</v>
      </c>
      <c r="C13">
        <f t="shared" si="0"/>
        <v>3631.1111111111113</v>
      </c>
      <c r="E13">
        <f t="shared" si="1"/>
        <v>10.490498202362609</v>
      </c>
    </row>
    <row r="14" spans="1:5" x14ac:dyDescent="0.2">
      <c r="A14" t="s">
        <v>10</v>
      </c>
      <c r="B14">
        <v>256</v>
      </c>
      <c r="C14">
        <f t="shared" si="0"/>
        <v>1137.7777777777778</v>
      </c>
      <c r="E14">
        <f t="shared" si="1"/>
        <v>3.2871083718541345</v>
      </c>
    </row>
    <row r="15" spans="1:5" x14ac:dyDescent="0.2">
      <c r="A15" t="s">
        <v>11</v>
      </c>
      <c r="B15">
        <v>298</v>
      </c>
      <c r="C15">
        <f t="shared" si="0"/>
        <v>1324.4444444444446</v>
      </c>
      <c r="E15">
        <f t="shared" si="1"/>
        <v>3.8263995891114537</v>
      </c>
    </row>
    <row r="16" spans="1:5" x14ac:dyDescent="0.2">
      <c r="A16" t="s">
        <v>12</v>
      </c>
      <c r="B16">
        <v>243</v>
      </c>
      <c r="C16">
        <f t="shared" si="0"/>
        <v>1080</v>
      </c>
      <c r="E16">
        <f t="shared" si="1"/>
        <v>3.1201848998459165</v>
      </c>
    </row>
    <row r="17" spans="1:5" x14ac:dyDescent="0.2">
      <c r="A17" t="s">
        <v>13</v>
      </c>
      <c r="B17">
        <v>33</v>
      </c>
      <c r="C17">
        <f t="shared" si="0"/>
        <v>146.66666666666669</v>
      </c>
      <c r="E17">
        <f t="shared" si="1"/>
        <v>0.42372881355932202</v>
      </c>
    </row>
    <row r="18" spans="1:5" x14ac:dyDescent="0.2">
      <c r="A18" t="s">
        <v>14</v>
      </c>
      <c r="B18">
        <v>38</v>
      </c>
      <c r="C18">
        <f t="shared" si="0"/>
        <v>168.88888888888889</v>
      </c>
      <c r="E18">
        <f t="shared" si="1"/>
        <v>0.48793014894709802</v>
      </c>
    </row>
    <row r="19" spans="1:5" x14ac:dyDescent="0.2">
      <c r="A19" t="s">
        <v>15</v>
      </c>
      <c r="B19">
        <v>42</v>
      </c>
      <c r="C19">
        <f t="shared" si="0"/>
        <v>186.66666666666669</v>
      </c>
      <c r="E19">
        <f t="shared" si="1"/>
        <v>0.53929121725731899</v>
      </c>
    </row>
    <row r="20" spans="1:5" x14ac:dyDescent="0.2">
      <c r="A20" t="s">
        <v>16</v>
      </c>
      <c r="B20">
        <v>35</v>
      </c>
      <c r="C20">
        <f t="shared" si="0"/>
        <v>155.55555555555557</v>
      </c>
      <c r="E20">
        <f t="shared" si="1"/>
        <v>0.44940934771443253</v>
      </c>
    </row>
    <row r="21" spans="1:5" x14ac:dyDescent="0.2">
      <c r="A21" t="s">
        <v>17</v>
      </c>
      <c r="B21">
        <v>35</v>
      </c>
      <c r="C21">
        <f t="shared" si="0"/>
        <v>155.55555555555557</v>
      </c>
      <c r="E21">
        <f t="shared" si="1"/>
        <v>0.44940934771443253</v>
      </c>
    </row>
    <row r="22" spans="1:5" x14ac:dyDescent="0.2">
      <c r="A22" t="s">
        <v>18</v>
      </c>
      <c r="B22">
        <v>24</v>
      </c>
      <c r="C22">
        <f t="shared" si="0"/>
        <v>106.66666666666667</v>
      </c>
      <c r="E22">
        <f t="shared" si="1"/>
        <v>0.30816640986132515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23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5382</v>
      </c>
      <c r="C2">
        <f>((B2*200/50)*(100/90))</f>
        <v>23920</v>
      </c>
      <c r="D2">
        <f>AVERAGE(C2:C4)</f>
        <v>22595.555555555551</v>
      </c>
      <c r="E2">
        <f>(C2/$D$2)*100</f>
        <v>105.86152635719908</v>
      </c>
    </row>
    <row r="3" spans="1:5" x14ac:dyDescent="0.2">
      <c r="A3" t="s">
        <v>20</v>
      </c>
      <c r="B3">
        <v>5180</v>
      </c>
      <c r="C3">
        <f t="shared" ref="C3:C22" si="0">((B3*200/50)*(100/90))</f>
        <v>23022.222222222223</v>
      </c>
      <c r="E3">
        <f t="shared" ref="E3:E22" si="1">(C3/$D$2)*100</f>
        <v>101.88827694728562</v>
      </c>
    </row>
    <row r="4" spans="1:5" x14ac:dyDescent="0.2">
      <c r="A4" t="s">
        <v>21</v>
      </c>
      <c r="B4">
        <v>4690</v>
      </c>
      <c r="C4">
        <f t="shared" si="0"/>
        <v>20844.444444444445</v>
      </c>
      <c r="E4">
        <f t="shared" si="1"/>
        <v>92.250196695515356</v>
      </c>
    </row>
    <row r="5" spans="1:5" x14ac:dyDescent="0.2">
      <c r="A5" t="s">
        <v>1</v>
      </c>
      <c r="B5">
        <v>4536</v>
      </c>
      <c r="C5">
        <f t="shared" si="0"/>
        <v>20160</v>
      </c>
      <c r="E5">
        <f t="shared" si="1"/>
        <v>89.221085759244716</v>
      </c>
    </row>
    <row r="6" spans="1:5" x14ac:dyDescent="0.2">
      <c r="A6" t="s">
        <v>2</v>
      </c>
      <c r="B6">
        <v>4104</v>
      </c>
      <c r="C6">
        <f t="shared" si="0"/>
        <v>18240</v>
      </c>
      <c r="E6">
        <f t="shared" si="1"/>
        <v>80.72383949645949</v>
      </c>
    </row>
    <row r="7" spans="1:5" x14ac:dyDescent="0.2">
      <c r="A7" t="s">
        <v>3</v>
      </c>
      <c r="B7">
        <v>4719</v>
      </c>
      <c r="C7">
        <f t="shared" si="0"/>
        <v>20973.333333333336</v>
      </c>
      <c r="E7">
        <f t="shared" si="1"/>
        <v>92.820613690007889</v>
      </c>
    </row>
    <row r="8" spans="1:5" x14ac:dyDescent="0.2">
      <c r="A8" t="s">
        <v>4</v>
      </c>
      <c r="B8">
        <v>3189</v>
      </c>
      <c r="C8">
        <f t="shared" si="0"/>
        <v>14173.333333333334</v>
      </c>
      <c r="E8">
        <f t="shared" si="1"/>
        <v>62.726199842643602</v>
      </c>
    </row>
    <row r="9" spans="1:5" x14ac:dyDescent="0.2">
      <c r="A9" t="s">
        <v>5</v>
      </c>
      <c r="B9">
        <v>3746</v>
      </c>
      <c r="C9">
        <f t="shared" si="0"/>
        <v>16648.888888888891</v>
      </c>
      <c r="E9">
        <f t="shared" si="1"/>
        <v>73.682140047206943</v>
      </c>
    </row>
    <row r="10" spans="1:5" x14ac:dyDescent="0.2">
      <c r="A10" t="s">
        <v>6</v>
      </c>
      <c r="B10">
        <v>3531</v>
      </c>
      <c r="C10">
        <f t="shared" si="0"/>
        <v>15693.333333333334</v>
      </c>
      <c r="E10">
        <f t="shared" si="1"/>
        <v>69.453186467348559</v>
      </c>
    </row>
    <row r="11" spans="1:5" x14ac:dyDescent="0.2">
      <c r="A11" t="s">
        <v>7</v>
      </c>
      <c r="B11">
        <v>454</v>
      </c>
      <c r="C11">
        <f t="shared" si="0"/>
        <v>2017.7777777777778</v>
      </c>
      <c r="E11">
        <f t="shared" si="1"/>
        <v>8.9299763965381604</v>
      </c>
    </row>
    <row r="12" spans="1:5" x14ac:dyDescent="0.2">
      <c r="A12" t="s">
        <v>8</v>
      </c>
      <c r="B12">
        <v>596</v>
      </c>
      <c r="C12">
        <f t="shared" si="0"/>
        <v>2648.8888888888891</v>
      </c>
      <c r="E12">
        <f t="shared" si="1"/>
        <v>11.723052714398115</v>
      </c>
    </row>
    <row r="13" spans="1:5" x14ac:dyDescent="0.2">
      <c r="A13" t="s">
        <v>9</v>
      </c>
      <c r="B13">
        <v>583</v>
      </c>
      <c r="C13">
        <f t="shared" si="0"/>
        <v>2591.1111111111113</v>
      </c>
      <c r="E13">
        <f t="shared" si="1"/>
        <v>11.46734854445319</v>
      </c>
    </row>
    <row r="14" spans="1:5" x14ac:dyDescent="0.2">
      <c r="A14" t="s">
        <v>10</v>
      </c>
      <c r="B14">
        <v>9</v>
      </c>
      <c r="C14">
        <f t="shared" si="0"/>
        <v>40</v>
      </c>
      <c r="E14">
        <f t="shared" si="1"/>
        <v>0.17702596380802521</v>
      </c>
    </row>
    <row r="15" spans="1:5" x14ac:dyDescent="0.2">
      <c r="A15" t="s">
        <v>11</v>
      </c>
      <c r="B15">
        <v>6</v>
      </c>
      <c r="C15">
        <f t="shared" si="0"/>
        <v>26.666666666666668</v>
      </c>
      <c r="E15">
        <f t="shared" si="1"/>
        <v>0.11801730920535014</v>
      </c>
    </row>
    <row r="16" spans="1:5" x14ac:dyDescent="0.2">
      <c r="A16" t="s">
        <v>12</v>
      </c>
      <c r="B16">
        <v>13</v>
      </c>
      <c r="C16">
        <f t="shared" si="0"/>
        <v>57.777777777777779</v>
      </c>
      <c r="E16">
        <f t="shared" si="1"/>
        <v>0.25570416994492534</v>
      </c>
    </row>
    <row r="17" spans="1:5" x14ac:dyDescent="0.2">
      <c r="A17" t="s">
        <v>13</v>
      </c>
      <c r="B17">
        <v>2</v>
      </c>
      <c r="C17">
        <f t="shared" si="0"/>
        <v>8.8888888888888893</v>
      </c>
      <c r="E17">
        <f t="shared" si="1"/>
        <v>3.9339103068450051E-2</v>
      </c>
    </row>
    <row r="18" spans="1:5" x14ac:dyDescent="0.2">
      <c r="A18" t="s">
        <v>14</v>
      </c>
      <c r="B18">
        <v>3</v>
      </c>
      <c r="C18">
        <f t="shared" si="0"/>
        <v>13.333333333333334</v>
      </c>
      <c r="E18">
        <f t="shared" si="1"/>
        <v>5.900865460267507E-2</v>
      </c>
    </row>
    <row r="19" spans="1:5" x14ac:dyDescent="0.2">
      <c r="A19" t="s">
        <v>15</v>
      </c>
      <c r="B19">
        <v>5</v>
      </c>
      <c r="C19">
        <f t="shared" si="0"/>
        <v>22.222222222222221</v>
      </c>
      <c r="E19">
        <f t="shared" si="1"/>
        <v>9.8347757671125122E-2</v>
      </c>
    </row>
    <row r="20" spans="1:5" x14ac:dyDescent="0.2">
      <c r="A20" t="s">
        <v>16</v>
      </c>
      <c r="B20">
        <v>2</v>
      </c>
      <c r="C20">
        <f t="shared" si="0"/>
        <v>8.8888888888888893</v>
      </c>
      <c r="E20">
        <f t="shared" si="1"/>
        <v>3.9339103068450051E-2</v>
      </c>
    </row>
    <row r="21" spans="1:5" x14ac:dyDescent="0.2">
      <c r="A21" t="s">
        <v>17</v>
      </c>
      <c r="B21">
        <v>3</v>
      </c>
      <c r="C21">
        <f t="shared" si="0"/>
        <v>13.333333333333334</v>
      </c>
      <c r="E21">
        <f t="shared" si="1"/>
        <v>5.900865460267507E-2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5.900865460267507E-2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3.3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25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3541</v>
      </c>
      <c r="C2">
        <f>((B2*200/50)*(100/90))</f>
        <v>15737.777777777779</v>
      </c>
      <c r="D2">
        <f>AVERAGE(C2:C4)</f>
        <v>14958.518518518518</v>
      </c>
      <c r="E2">
        <f>(C2/$D$2)*100</f>
        <v>105.20946815885908</v>
      </c>
    </row>
    <row r="3" spans="1:5" x14ac:dyDescent="0.2">
      <c r="A3" t="s">
        <v>20</v>
      </c>
      <c r="B3">
        <v>3327</v>
      </c>
      <c r="C3">
        <f t="shared" ref="C3:C22" si="0">((B3*200/50)*(100/90))</f>
        <v>14786.666666666668</v>
      </c>
      <c r="E3">
        <f t="shared" ref="E3:E22" si="1">(C3/$D$2)*100</f>
        <v>98.851143904129941</v>
      </c>
    </row>
    <row r="4" spans="1:5" x14ac:dyDescent="0.2">
      <c r="A4" t="s">
        <v>21</v>
      </c>
      <c r="B4">
        <v>3229</v>
      </c>
      <c r="C4">
        <f t="shared" si="0"/>
        <v>14351.111111111111</v>
      </c>
      <c r="E4">
        <f t="shared" si="1"/>
        <v>95.939387937011006</v>
      </c>
    </row>
    <row r="5" spans="1:5" x14ac:dyDescent="0.2">
      <c r="A5" t="s">
        <v>1</v>
      </c>
      <c r="B5">
        <v>2987</v>
      </c>
      <c r="C5">
        <f t="shared" si="0"/>
        <v>13275.555555555557</v>
      </c>
      <c r="E5">
        <f t="shared" si="1"/>
        <v>88.749133405962183</v>
      </c>
    </row>
    <row r="6" spans="1:5" x14ac:dyDescent="0.2">
      <c r="A6" t="s">
        <v>2</v>
      </c>
      <c r="B6">
        <v>2861</v>
      </c>
      <c r="C6">
        <f t="shared" si="0"/>
        <v>12715.555555555557</v>
      </c>
      <c r="E6">
        <f t="shared" si="1"/>
        <v>85.005447162523524</v>
      </c>
    </row>
    <row r="7" spans="1:5" x14ac:dyDescent="0.2">
      <c r="A7" t="s">
        <v>3</v>
      </c>
      <c r="B7">
        <v>3067</v>
      </c>
      <c r="C7">
        <f t="shared" si="0"/>
        <v>13631.111111111111</v>
      </c>
      <c r="E7">
        <f t="shared" si="1"/>
        <v>91.126077052589878</v>
      </c>
    </row>
    <row r="8" spans="1:5" x14ac:dyDescent="0.2">
      <c r="A8" t="s">
        <v>4</v>
      </c>
      <c r="B8">
        <v>2386</v>
      </c>
      <c r="C8">
        <f t="shared" si="0"/>
        <v>10604.444444444445</v>
      </c>
      <c r="E8">
        <f t="shared" si="1"/>
        <v>70.892344260671493</v>
      </c>
    </row>
    <row r="9" spans="1:5" x14ac:dyDescent="0.2">
      <c r="A9" t="s">
        <v>5</v>
      </c>
      <c r="B9">
        <v>2817</v>
      </c>
      <c r="C9">
        <f t="shared" si="0"/>
        <v>12520</v>
      </c>
      <c r="E9">
        <f t="shared" si="1"/>
        <v>83.698128156878283</v>
      </c>
    </row>
    <row r="10" spans="1:5" x14ac:dyDescent="0.2">
      <c r="A10" t="s">
        <v>6</v>
      </c>
      <c r="B10">
        <v>2859</v>
      </c>
      <c r="C10">
        <f t="shared" si="0"/>
        <v>12706.666666666668</v>
      </c>
      <c r="E10">
        <f t="shared" si="1"/>
        <v>84.946023571357841</v>
      </c>
    </row>
    <row r="11" spans="1:5" x14ac:dyDescent="0.2">
      <c r="A11" t="s">
        <v>7</v>
      </c>
      <c r="B11">
        <v>308</v>
      </c>
      <c r="C11">
        <f t="shared" si="0"/>
        <v>1368.8888888888889</v>
      </c>
      <c r="E11">
        <f t="shared" si="1"/>
        <v>9.1512330395166881</v>
      </c>
    </row>
    <row r="12" spans="1:5" x14ac:dyDescent="0.2">
      <c r="A12" t="s">
        <v>8</v>
      </c>
      <c r="B12">
        <v>491</v>
      </c>
      <c r="C12">
        <f t="shared" si="0"/>
        <v>2182.2222222222222</v>
      </c>
      <c r="E12">
        <f t="shared" si="1"/>
        <v>14.588491631177577</v>
      </c>
    </row>
    <row r="13" spans="1:5" x14ac:dyDescent="0.2">
      <c r="A13" t="s">
        <v>9</v>
      </c>
      <c r="B13">
        <v>446</v>
      </c>
      <c r="C13">
        <f t="shared" si="0"/>
        <v>1982.2222222222224</v>
      </c>
      <c r="E13">
        <f t="shared" si="1"/>
        <v>13.25146082994949</v>
      </c>
    </row>
    <row r="14" spans="1:5" x14ac:dyDescent="0.2">
      <c r="A14" t="s">
        <v>10</v>
      </c>
      <c r="B14">
        <v>4</v>
      </c>
      <c r="C14">
        <f t="shared" si="0"/>
        <v>17.777777777777779</v>
      </c>
      <c r="E14">
        <f t="shared" si="1"/>
        <v>0.11884718233138557</v>
      </c>
    </row>
    <row r="15" spans="1:5" x14ac:dyDescent="0.2">
      <c r="A15" t="s">
        <v>11</v>
      </c>
      <c r="B15">
        <v>4</v>
      </c>
      <c r="C15">
        <f t="shared" si="0"/>
        <v>17.777777777777779</v>
      </c>
      <c r="E15">
        <f t="shared" si="1"/>
        <v>0.11884718233138557</v>
      </c>
    </row>
    <row r="16" spans="1:5" x14ac:dyDescent="0.2">
      <c r="A16" t="s">
        <v>12</v>
      </c>
      <c r="B16">
        <v>6</v>
      </c>
      <c r="C16">
        <f t="shared" si="0"/>
        <v>26.666666666666668</v>
      </c>
      <c r="E16">
        <f t="shared" si="1"/>
        <v>0.17827077349707837</v>
      </c>
    </row>
    <row r="17" spans="1:5" x14ac:dyDescent="0.2">
      <c r="A17" t="s">
        <v>13</v>
      </c>
      <c r="B17">
        <v>1</v>
      </c>
      <c r="C17">
        <f t="shared" si="0"/>
        <v>4.4444444444444446</v>
      </c>
      <c r="E17">
        <f t="shared" si="1"/>
        <v>2.9711795582846392E-2</v>
      </c>
    </row>
    <row r="18" spans="1:5" x14ac:dyDescent="0.2">
      <c r="A18" t="s">
        <v>14</v>
      </c>
      <c r="B18">
        <v>1</v>
      </c>
      <c r="C18">
        <f t="shared" si="0"/>
        <v>4.4444444444444446</v>
      </c>
      <c r="E18">
        <f t="shared" si="1"/>
        <v>2.9711795582846392E-2</v>
      </c>
    </row>
    <row r="19" spans="1:5" x14ac:dyDescent="0.2">
      <c r="A19" t="s">
        <v>15</v>
      </c>
      <c r="B19">
        <v>2</v>
      </c>
      <c r="C19">
        <f t="shared" si="0"/>
        <v>8.8888888888888893</v>
      </c>
      <c r="E19">
        <f t="shared" si="1"/>
        <v>5.9423591165692784E-2</v>
      </c>
    </row>
    <row r="20" spans="1:5" x14ac:dyDescent="0.2">
      <c r="A20" t="s">
        <v>16</v>
      </c>
      <c r="B20">
        <v>0</v>
      </c>
      <c r="C20">
        <f t="shared" si="0"/>
        <v>0</v>
      </c>
      <c r="E20">
        <f t="shared" si="1"/>
        <v>0</v>
      </c>
    </row>
    <row r="21" spans="1:5" x14ac:dyDescent="0.2">
      <c r="A21" t="s">
        <v>17</v>
      </c>
      <c r="B21">
        <v>1</v>
      </c>
      <c r="C21">
        <f t="shared" si="0"/>
        <v>4.4444444444444446</v>
      </c>
      <c r="E21">
        <f t="shared" si="1"/>
        <v>2.9711795582846392E-2</v>
      </c>
    </row>
    <row r="22" spans="1:5" x14ac:dyDescent="0.2">
      <c r="A22" t="s">
        <v>18</v>
      </c>
      <c r="B22">
        <v>0</v>
      </c>
      <c r="C22">
        <f t="shared" si="0"/>
        <v>0</v>
      </c>
      <c r="E22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C2" sqref="C2:C22"/>
    </sheetView>
  </sheetViews>
  <sheetFormatPr baseColWidth="10" defaultRowHeight="16" x14ac:dyDescent="0.2"/>
  <cols>
    <col min="2" max="2" width="14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1892</v>
      </c>
      <c r="C2">
        <f>((B2*200/50)*(100/90))</f>
        <v>8408.8888888888887</v>
      </c>
      <c r="D2">
        <f>AVERAGE(C2:C4)</f>
        <v>7927.4074074074078</v>
      </c>
      <c r="E2">
        <f>(C2/$D$2)*100</f>
        <v>106.07363109699122</v>
      </c>
    </row>
    <row r="3" spans="1:5" x14ac:dyDescent="0.2">
      <c r="A3" t="s">
        <v>20</v>
      </c>
      <c r="B3">
        <v>1928</v>
      </c>
      <c r="C3">
        <f t="shared" ref="C3:C22" si="0">((B3*200/50)*(100/90))</f>
        <v>8568.8888888888887</v>
      </c>
      <c r="E3">
        <f t="shared" ref="E3:E22" si="1">(C3/$D$2)*100</f>
        <v>108.09194543076059</v>
      </c>
    </row>
    <row r="4" spans="1:5" x14ac:dyDescent="0.2">
      <c r="A4" t="s">
        <v>21</v>
      </c>
      <c r="B4">
        <v>1531</v>
      </c>
      <c r="C4">
        <f t="shared" si="0"/>
        <v>6804.4444444444443</v>
      </c>
      <c r="E4">
        <f t="shared" si="1"/>
        <v>85.834423472248162</v>
      </c>
    </row>
    <row r="5" spans="1:5" x14ac:dyDescent="0.2">
      <c r="A5" t="s">
        <v>1</v>
      </c>
      <c r="B5">
        <v>1591</v>
      </c>
      <c r="C5">
        <f t="shared" si="0"/>
        <v>7071.1111111111113</v>
      </c>
      <c r="E5">
        <f t="shared" si="1"/>
        <v>89.198280695197155</v>
      </c>
    </row>
    <row r="6" spans="1:5" x14ac:dyDescent="0.2">
      <c r="A6" t="s">
        <v>2</v>
      </c>
      <c r="B6">
        <v>1305</v>
      </c>
      <c r="C6">
        <f t="shared" si="0"/>
        <v>5800</v>
      </c>
      <c r="E6">
        <f t="shared" si="1"/>
        <v>73.163894599140349</v>
      </c>
    </row>
    <row r="7" spans="1:5" x14ac:dyDescent="0.2">
      <c r="A7" t="s">
        <v>3</v>
      </c>
      <c r="B7">
        <v>1722</v>
      </c>
      <c r="C7">
        <f t="shared" si="0"/>
        <v>7653.3333333333339</v>
      </c>
      <c r="E7">
        <f t="shared" si="1"/>
        <v>96.542702298635774</v>
      </c>
    </row>
    <row r="8" spans="1:5" x14ac:dyDescent="0.2">
      <c r="A8" t="s">
        <v>4</v>
      </c>
      <c r="B8">
        <v>820</v>
      </c>
      <c r="C8">
        <f t="shared" si="0"/>
        <v>3644.4444444444448</v>
      </c>
      <c r="E8">
        <f t="shared" si="1"/>
        <v>45.972715380302745</v>
      </c>
    </row>
    <row r="9" spans="1:5" x14ac:dyDescent="0.2">
      <c r="A9" t="s">
        <v>5</v>
      </c>
      <c r="B9">
        <v>983</v>
      </c>
      <c r="C9">
        <f t="shared" si="0"/>
        <v>4368.8888888888887</v>
      </c>
      <c r="E9">
        <f t="shared" si="1"/>
        <v>55.111194169314139</v>
      </c>
    </row>
    <row r="10" spans="1:5" x14ac:dyDescent="0.2">
      <c r="A10" t="s">
        <v>6</v>
      </c>
      <c r="B10">
        <v>734</v>
      </c>
      <c r="C10">
        <f t="shared" si="0"/>
        <v>3262.2222222222222</v>
      </c>
      <c r="E10">
        <f t="shared" si="1"/>
        <v>41.151186694075868</v>
      </c>
    </row>
    <row r="11" spans="1:5" x14ac:dyDescent="0.2">
      <c r="A11" t="s">
        <v>7</v>
      </c>
      <c r="B11">
        <v>150</v>
      </c>
      <c r="C11">
        <f t="shared" si="0"/>
        <v>666.66666666666674</v>
      </c>
      <c r="E11">
        <f t="shared" si="1"/>
        <v>8.4096430573724543</v>
      </c>
    </row>
    <row r="12" spans="1:5" x14ac:dyDescent="0.2">
      <c r="A12" t="s">
        <v>8</v>
      </c>
      <c r="B12">
        <v>111</v>
      </c>
      <c r="C12">
        <f t="shared" si="0"/>
        <v>493.33333333333337</v>
      </c>
      <c r="E12">
        <f t="shared" si="1"/>
        <v>6.2231358624556155</v>
      </c>
    </row>
    <row r="13" spans="1:5" x14ac:dyDescent="0.2">
      <c r="A13" t="s">
        <v>9</v>
      </c>
      <c r="B13">
        <v>141</v>
      </c>
      <c r="C13">
        <f t="shared" si="0"/>
        <v>626.66666666666674</v>
      </c>
      <c r="E13">
        <f t="shared" si="1"/>
        <v>7.905064473930107</v>
      </c>
    </row>
    <row r="14" spans="1:5" x14ac:dyDescent="0.2">
      <c r="A14" t="s">
        <v>10</v>
      </c>
      <c r="B14">
        <v>6</v>
      </c>
      <c r="C14">
        <f t="shared" si="0"/>
        <v>26.666666666666668</v>
      </c>
      <c r="E14">
        <f t="shared" si="1"/>
        <v>0.33638572229489816</v>
      </c>
    </row>
    <row r="15" spans="1:5" x14ac:dyDescent="0.2">
      <c r="A15" t="s">
        <v>11</v>
      </c>
      <c r="B15">
        <v>2</v>
      </c>
      <c r="C15">
        <f t="shared" si="0"/>
        <v>8.8888888888888893</v>
      </c>
      <c r="E15">
        <f t="shared" si="1"/>
        <v>0.11212857409829938</v>
      </c>
    </row>
    <row r="16" spans="1:5" x14ac:dyDescent="0.2">
      <c r="A16" t="s">
        <v>12</v>
      </c>
      <c r="B16">
        <v>8</v>
      </c>
      <c r="C16">
        <f t="shared" si="0"/>
        <v>35.555555555555557</v>
      </c>
      <c r="E16">
        <f t="shared" si="1"/>
        <v>0.44851429639319751</v>
      </c>
    </row>
    <row r="17" spans="1:5" x14ac:dyDescent="0.2">
      <c r="A17" t="s">
        <v>13</v>
      </c>
      <c r="B17">
        <v>1</v>
      </c>
      <c r="C17">
        <f t="shared" si="0"/>
        <v>4.4444444444444446</v>
      </c>
      <c r="E17">
        <f t="shared" si="1"/>
        <v>5.6064287049149689E-2</v>
      </c>
    </row>
    <row r="18" spans="1:5" x14ac:dyDescent="0.2">
      <c r="A18" t="s">
        <v>14</v>
      </c>
      <c r="B18">
        <v>3</v>
      </c>
      <c r="C18">
        <f t="shared" si="0"/>
        <v>13.333333333333334</v>
      </c>
      <c r="E18">
        <f t="shared" si="1"/>
        <v>0.16819286114744908</v>
      </c>
    </row>
    <row r="19" spans="1:5" x14ac:dyDescent="0.2">
      <c r="A19" t="s">
        <v>15</v>
      </c>
      <c r="B19">
        <v>3</v>
      </c>
      <c r="C19">
        <f t="shared" si="0"/>
        <v>13.333333333333334</v>
      </c>
      <c r="E19">
        <f t="shared" si="1"/>
        <v>0.16819286114744908</v>
      </c>
    </row>
    <row r="20" spans="1:5" x14ac:dyDescent="0.2">
      <c r="A20" t="s">
        <v>16</v>
      </c>
      <c r="B20">
        <v>2</v>
      </c>
      <c r="C20">
        <f t="shared" si="0"/>
        <v>8.8888888888888893</v>
      </c>
      <c r="E20">
        <f t="shared" si="1"/>
        <v>0.11212857409829938</v>
      </c>
    </row>
    <row r="21" spans="1:5" x14ac:dyDescent="0.2">
      <c r="A21" t="s">
        <v>17</v>
      </c>
      <c r="B21">
        <v>2</v>
      </c>
      <c r="C21">
        <f t="shared" si="0"/>
        <v>8.8888888888888893</v>
      </c>
      <c r="E21">
        <f t="shared" si="1"/>
        <v>0.11212857409829938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0.16819286114744908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Live cells</vt:lpstr>
      <vt:lpstr>CD34-</vt:lpstr>
      <vt:lpstr>CD15+CD34-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2024-01-22T16:37:13Z</dcterms:modified>
</cp:coreProperties>
</file>