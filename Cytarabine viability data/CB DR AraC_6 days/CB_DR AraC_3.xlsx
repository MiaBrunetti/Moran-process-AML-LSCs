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laiasenza/Documents/PhD Winter 2022/II 2024-01-24 CB DR AraC_trial 3/"/>
    </mc:Choice>
  </mc:AlternateContent>
  <xr:revisionPtr revIDLastSave="0" documentId="13_ncr:1_{1D7F82F9-A6E4-6745-965C-A6C5DE1A1E66}" xr6:coauthVersionLast="47" xr6:coauthVersionMax="47" xr10:uidLastSave="{00000000-0000-0000-0000-000000000000}"/>
  <bookViews>
    <workbookView xWindow="0" yWindow="500" windowWidth="28420" windowHeight="16000" activeTab="5" xr2:uid="{15400350-3218-1245-8FFA-99667100601B}"/>
  </bookViews>
  <sheets>
    <sheet name="Raw data" sheetId="1" r:id="rId1"/>
    <sheet name="Live cells" sheetId="2" r:id="rId2"/>
    <sheet name="CD34-" sheetId="3" r:id="rId3"/>
    <sheet name="CD34+" sheetId="5" r:id="rId4"/>
    <sheet name="CD34+CD38+" sheetId="6" r:id="rId5"/>
    <sheet name="CD34+CD38-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5" l="1"/>
  <c r="C15" i="5"/>
  <c r="C11" i="5"/>
  <c r="C7" i="5"/>
  <c r="C3" i="5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2" i="5"/>
  <c r="C21" i="5"/>
  <c r="C20" i="5"/>
  <c r="C18" i="5"/>
  <c r="C17" i="5"/>
  <c r="C16" i="5"/>
  <c r="C14" i="5"/>
  <c r="C13" i="5"/>
  <c r="C12" i="5"/>
  <c r="C10" i="5"/>
  <c r="C9" i="5"/>
  <c r="C8" i="5"/>
  <c r="C6" i="5"/>
  <c r="C5" i="5"/>
  <c r="C4" i="5"/>
  <c r="C2" i="5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D2" i="6" s="1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2" i="7" s="1"/>
  <c r="E20" i="7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D2" i="2" l="1"/>
  <c r="E20" i="2" s="1"/>
  <c r="E19" i="7"/>
  <c r="E11" i="7"/>
  <c r="E4" i="7"/>
  <c r="E3" i="7"/>
  <c r="E7" i="7"/>
  <c r="E15" i="7"/>
  <c r="E5" i="7"/>
  <c r="E9" i="7"/>
  <c r="E13" i="7"/>
  <c r="E17" i="7"/>
  <c r="E21" i="7"/>
  <c r="E22" i="6"/>
  <c r="E20" i="6"/>
  <c r="E18" i="6"/>
  <c r="E16" i="6"/>
  <c r="E14" i="6"/>
  <c r="E12" i="6"/>
  <c r="E10" i="6"/>
  <c r="E8" i="6"/>
  <c r="E6" i="6"/>
  <c r="E4" i="6"/>
  <c r="E2" i="6"/>
  <c r="E3" i="6"/>
  <c r="E7" i="6"/>
  <c r="E11" i="6"/>
  <c r="E15" i="6"/>
  <c r="E19" i="6"/>
  <c r="E5" i="6"/>
  <c r="E9" i="6"/>
  <c r="E13" i="6"/>
  <c r="E17" i="6"/>
  <c r="E21" i="6"/>
  <c r="E2" i="7"/>
  <c r="E8" i="7"/>
  <c r="E18" i="7"/>
  <c r="D2" i="5"/>
  <c r="E6" i="7"/>
  <c r="E10" i="7"/>
  <c r="E14" i="7"/>
  <c r="E16" i="7"/>
  <c r="E22" i="7"/>
  <c r="D2" i="3"/>
  <c r="E22" i="3" s="1"/>
  <c r="E12" i="7"/>
  <c r="E15" i="2" l="1"/>
  <c r="E12" i="2"/>
  <c r="E3" i="2"/>
  <c r="E2" i="2"/>
  <c r="E7" i="2"/>
  <c r="E8" i="2"/>
  <c r="E6" i="2"/>
  <c r="E19" i="2"/>
  <c r="E10" i="2"/>
  <c r="E14" i="2"/>
  <c r="E18" i="2"/>
  <c r="E22" i="2"/>
  <c r="E9" i="2"/>
  <c r="E21" i="2"/>
  <c r="E5" i="2"/>
  <c r="E13" i="2"/>
  <c r="E17" i="2"/>
  <c r="E11" i="2"/>
  <c r="E4" i="2"/>
  <c r="E16" i="2"/>
  <c r="E21" i="5"/>
  <c r="E19" i="5"/>
  <c r="E17" i="5"/>
  <c r="E15" i="5"/>
  <c r="E13" i="5"/>
  <c r="E11" i="5"/>
  <c r="E9" i="5"/>
  <c r="E7" i="5"/>
  <c r="E5" i="5"/>
  <c r="E3" i="5"/>
  <c r="E22" i="5"/>
  <c r="E20" i="5"/>
  <c r="E18" i="5"/>
  <c r="E16" i="5"/>
  <c r="E14" i="5"/>
  <c r="E12" i="5"/>
  <c r="E10" i="5"/>
  <c r="E8" i="5"/>
  <c r="E6" i="5"/>
  <c r="E4" i="5"/>
  <c r="E20" i="3"/>
  <c r="E18" i="3"/>
  <c r="E16" i="3"/>
  <c r="E14" i="3"/>
  <c r="E12" i="3"/>
  <c r="E10" i="3"/>
  <c r="E8" i="3"/>
  <c r="E6" i="3"/>
  <c r="E4" i="3"/>
  <c r="E19" i="3"/>
  <c r="E17" i="3"/>
  <c r="E15" i="3"/>
  <c r="E13" i="3"/>
  <c r="E11" i="3"/>
  <c r="E9" i="3"/>
  <c r="E7" i="3"/>
  <c r="E5" i="3"/>
  <c r="E3" i="3"/>
  <c r="E2" i="3"/>
  <c r="E21" i="3"/>
  <c r="E2" i="5"/>
</calcChain>
</file>

<file path=xl/sharedStrings.xml><?xml version="1.0" encoding="utf-8"?>
<sst xmlns="http://schemas.openxmlformats.org/spreadsheetml/2006/main" count="157" uniqueCount="30">
  <si>
    <t>Sample:</t>
  </si>
  <si>
    <t>1 nM AraC_B3_B03_004.fcs</t>
  </si>
  <si>
    <t>1 nM AraC_C3_C03_005.fcs</t>
  </si>
  <si>
    <t>1 nM AraC_D3_D03_006.fcs</t>
  </si>
  <si>
    <t>5 nM AraC_B4_B04_007.fcs</t>
  </si>
  <si>
    <t>5 nM AraC_C4_C04_008.fcs</t>
  </si>
  <si>
    <t>5 nM AraC_D4_D04_009.fcs</t>
  </si>
  <si>
    <t>25 nM AraC_B5_B05_010.fcs</t>
  </si>
  <si>
    <t>25 nM AraC_C5_C05_011.fcs</t>
  </si>
  <si>
    <t>25 nM AraC_D5_D05_012.fcs</t>
  </si>
  <si>
    <t>125 nM AraC_B6_B06_013.fcs</t>
  </si>
  <si>
    <t>125 nM AraC_C6_C06_014.fcs</t>
  </si>
  <si>
    <t>125 nM AraC_D6_D06_015.fcs</t>
  </si>
  <si>
    <t>625 nM AraC_B7_B07_016.fcs</t>
  </si>
  <si>
    <t>625 nM AraC_C7_C07_017.fcs</t>
  </si>
  <si>
    <t>625 nM AraC_D7_D07_018.fcs</t>
  </si>
  <si>
    <t>1000 nM AraC_B8_B08_019.fcs</t>
  </si>
  <si>
    <t>1000 nM AraC_C8_C08_020.fcs</t>
  </si>
  <si>
    <t>1000 nM AraC_D8_D08_021.fcs</t>
  </si>
  <si>
    <t>CD34+</t>
  </si>
  <si>
    <t>CD34-</t>
  </si>
  <si>
    <t>CD34+CD38+</t>
  </si>
  <si>
    <t>CD34+CD38-</t>
  </si>
  <si>
    <t>adjusted cell count</t>
  </si>
  <si>
    <t>DMSO control average</t>
  </si>
  <si>
    <t>% cells normalized to DMSO</t>
  </si>
  <si>
    <t>DMSO_CB_B2_B02_001.fcs</t>
  </si>
  <si>
    <t>DMSO_CB_C2_C02_002.fcs</t>
  </si>
  <si>
    <t>DMSO_CB_D2_D02_003.fcs</t>
  </si>
  <si>
    <t>live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</si>
</sst>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B858-542E-D945-AF50-84E1B5BBC737}">
  <dimension ref="A1:F22"/>
  <sheetViews>
    <sheetView workbookViewId="0">
      <selection activeCell="F1" sqref="F1:F1048576"/>
    </sheetView>
  </sheetViews>
  <sheetFormatPr baseColWidth="10" defaultRowHeight="16" x14ac:dyDescent="0.2"/>
  <cols>
    <col min="1" max="1" width="16" customWidth="1"/>
    <col min="3" max="3" width="15.83203125" customWidth="1"/>
    <col min="4" max="4" width="22.6640625" customWidth="1"/>
    <col min="5" max="5" width="16.5" customWidth="1"/>
  </cols>
  <sheetData>
    <row r="1" spans="1:6" x14ac:dyDescent="0.2">
      <c r="A1" t="s">
        <v>0</v>
      </c>
      <c r="B1" t="s">
        <v>29</v>
      </c>
      <c r="C1" t="s">
        <v>19</v>
      </c>
      <c r="D1" t="s">
        <v>21</v>
      </c>
      <c r="E1" t="s">
        <v>20</v>
      </c>
      <c r="F1" t="s">
        <v>22</v>
      </c>
    </row>
    <row r="2" spans="1:6" x14ac:dyDescent="0.2">
      <c r="A2" t="s">
        <v>26</v>
      </c>
      <c r="B2">
        <v>100899</v>
      </c>
      <c r="C2">
        <v>73227</v>
      </c>
      <c r="D2">
        <v>19091</v>
      </c>
      <c r="E2">
        <v>26829</v>
      </c>
      <c r="F2">
        <v>52510</v>
      </c>
    </row>
    <row r="3" spans="1:6" x14ac:dyDescent="0.2">
      <c r="A3" t="s">
        <v>27</v>
      </c>
      <c r="B3">
        <v>86842</v>
      </c>
      <c r="C3">
        <v>62173</v>
      </c>
      <c r="D3">
        <v>16916</v>
      </c>
      <c r="E3">
        <v>23853</v>
      </c>
      <c r="F3">
        <v>43662</v>
      </c>
    </row>
    <row r="4" spans="1:6" x14ac:dyDescent="0.2">
      <c r="A4" t="s">
        <v>28</v>
      </c>
      <c r="B4">
        <v>78736</v>
      </c>
      <c r="C4">
        <v>56569</v>
      </c>
      <c r="D4">
        <v>15738</v>
      </c>
      <c r="E4">
        <v>21428</v>
      </c>
      <c r="F4">
        <v>39337</v>
      </c>
    </row>
    <row r="5" spans="1:6" x14ac:dyDescent="0.2">
      <c r="A5" t="s">
        <v>1</v>
      </c>
      <c r="B5">
        <v>93194</v>
      </c>
      <c r="C5">
        <v>67786</v>
      </c>
      <c r="D5">
        <v>16965</v>
      </c>
      <c r="E5">
        <v>24644</v>
      </c>
      <c r="F5">
        <v>49273</v>
      </c>
    </row>
    <row r="6" spans="1:6" x14ac:dyDescent="0.2">
      <c r="A6" t="s">
        <v>2</v>
      </c>
      <c r="B6">
        <v>73106</v>
      </c>
      <c r="C6">
        <v>53826</v>
      </c>
      <c r="D6">
        <v>13594</v>
      </c>
      <c r="E6">
        <v>18639</v>
      </c>
      <c r="F6">
        <v>38815</v>
      </c>
    </row>
    <row r="7" spans="1:6" x14ac:dyDescent="0.2">
      <c r="A7" t="s">
        <v>3</v>
      </c>
      <c r="B7">
        <v>65324</v>
      </c>
      <c r="C7">
        <v>48375</v>
      </c>
      <c r="D7">
        <v>11816</v>
      </c>
      <c r="E7">
        <v>16378</v>
      </c>
      <c r="F7">
        <v>35350</v>
      </c>
    </row>
    <row r="8" spans="1:6" x14ac:dyDescent="0.2">
      <c r="A8" t="s">
        <v>4</v>
      </c>
      <c r="B8">
        <v>87958</v>
      </c>
      <c r="C8">
        <v>65031</v>
      </c>
      <c r="D8">
        <v>17809</v>
      </c>
      <c r="E8">
        <v>22213</v>
      </c>
      <c r="F8">
        <v>45667</v>
      </c>
    </row>
    <row r="9" spans="1:6" x14ac:dyDescent="0.2">
      <c r="A9" t="s">
        <v>5</v>
      </c>
      <c r="B9">
        <v>79502</v>
      </c>
      <c r="C9">
        <v>58530</v>
      </c>
      <c r="D9">
        <v>14795</v>
      </c>
      <c r="E9">
        <v>20305</v>
      </c>
      <c r="F9">
        <v>42288</v>
      </c>
    </row>
    <row r="10" spans="1:6" x14ac:dyDescent="0.2">
      <c r="A10" t="s">
        <v>6</v>
      </c>
      <c r="B10">
        <v>69902</v>
      </c>
      <c r="C10">
        <v>51560</v>
      </c>
      <c r="D10">
        <v>14057</v>
      </c>
      <c r="E10">
        <v>17743</v>
      </c>
      <c r="F10">
        <v>36107</v>
      </c>
    </row>
    <row r="11" spans="1:6" x14ac:dyDescent="0.2">
      <c r="A11" t="s">
        <v>7</v>
      </c>
      <c r="B11">
        <v>70209</v>
      </c>
      <c r="C11">
        <v>54114</v>
      </c>
      <c r="D11">
        <v>19896</v>
      </c>
      <c r="E11">
        <v>15493</v>
      </c>
      <c r="F11">
        <v>32737</v>
      </c>
    </row>
    <row r="12" spans="1:6" x14ac:dyDescent="0.2">
      <c r="A12" t="s">
        <v>8</v>
      </c>
      <c r="B12">
        <v>66049</v>
      </c>
      <c r="C12">
        <v>50356</v>
      </c>
      <c r="D12">
        <v>16946</v>
      </c>
      <c r="E12">
        <v>15063</v>
      </c>
      <c r="F12">
        <v>31987</v>
      </c>
    </row>
    <row r="13" spans="1:6" x14ac:dyDescent="0.2">
      <c r="A13" t="s">
        <v>9</v>
      </c>
      <c r="B13">
        <v>61946</v>
      </c>
      <c r="C13">
        <v>47324</v>
      </c>
      <c r="D13">
        <v>16283</v>
      </c>
      <c r="E13">
        <v>14052</v>
      </c>
      <c r="F13">
        <v>29737</v>
      </c>
    </row>
    <row r="14" spans="1:6" x14ac:dyDescent="0.2">
      <c r="A14" t="s">
        <v>10</v>
      </c>
      <c r="B14">
        <v>2691</v>
      </c>
      <c r="C14">
        <v>2325</v>
      </c>
      <c r="D14">
        <v>1875</v>
      </c>
      <c r="E14">
        <v>344</v>
      </c>
      <c r="F14">
        <v>400</v>
      </c>
    </row>
    <row r="15" spans="1:6" x14ac:dyDescent="0.2">
      <c r="A15" t="s">
        <v>11</v>
      </c>
      <c r="B15">
        <v>4140</v>
      </c>
      <c r="C15">
        <v>3610</v>
      </c>
      <c r="D15">
        <v>2841</v>
      </c>
      <c r="E15">
        <v>495</v>
      </c>
      <c r="F15">
        <v>686</v>
      </c>
    </row>
    <row r="16" spans="1:6" x14ac:dyDescent="0.2">
      <c r="A16" t="s">
        <v>12</v>
      </c>
      <c r="B16">
        <v>4180</v>
      </c>
      <c r="C16">
        <v>3675</v>
      </c>
      <c r="D16">
        <v>2896</v>
      </c>
      <c r="E16">
        <v>467</v>
      </c>
      <c r="F16">
        <v>687</v>
      </c>
    </row>
    <row r="17" spans="1:6" x14ac:dyDescent="0.2">
      <c r="A17" t="s">
        <v>13</v>
      </c>
      <c r="B17">
        <v>21</v>
      </c>
      <c r="C17">
        <v>18</v>
      </c>
      <c r="D17">
        <v>12</v>
      </c>
      <c r="E17">
        <v>3</v>
      </c>
      <c r="F17">
        <v>6</v>
      </c>
    </row>
    <row r="18" spans="1:6" x14ac:dyDescent="0.2">
      <c r="A18" t="s">
        <v>14</v>
      </c>
      <c r="B18">
        <v>21</v>
      </c>
      <c r="C18">
        <v>15</v>
      </c>
      <c r="D18">
        <v>3</v>
      </c>
      <c r="E18">
        <v>6</v>
      </c>
      <c r="F18">
        <v>10</v>
      </c>
    </row>
    <row r="19" spans="1:6" x14ac:dyDescent="0.2">
      <c r="A19" t="s">
        <v>15</v>
      </c>
      <c r="B19">
        <v>24</v>
      </c>
      <c r="C19">
        <v>15</v>
      </c>
      <c r="D19">
        <v>11</v>
      </c>
      <c r="E19">
        <v>9</v>
      </c>
      <c r="F19">
        <v>3</v>
      </c>
    </row>
    <row r="20" spans="1:6" x14ac:dyDescent="0.2">
      <c r="A20" t="s">
        <v>16</v>
      </c>
      <c r="B20">
        <v>10</v>
      </c>
      <c r="C20">
        <v>8</v>
      </c>
      <c r="D20">
        <v>7</v>
      </c>
      <c r="E20">
        <v>2</v>
      </c>
      <c r="F20">
        <v>1</v>
      </c>
    </row>
    <row r="21" spans="1:6" x14ac:dyDescent="0.2">
      <c r="A21" t="s">
        <v>17</v>
      </c>
      <c r="B21">
        <v>11</v>
      </c>
      <c r="C21">
        <v>9</v>
      </c>
      <c r="D21">
        <v>5</v>
      </c>
      <c r="E21">
        <v>2</v>
      </c>
      <c r="F21">
        <v>4</v>
      </c>
    </row>
    <row r="22" spans="1:6" x14ac:dyDescent="0.2">
      <c r="A22" t="s">
        <v>18</v>
      </c>
      <c r="B22">
        <v>5</v>
      </c>
      <c r="C22">
        <v>4</v>
      </c>
      <c r="D22">
        <v>3</v>
      </c>
      <c r="E22">
        <v>1</v>
      </c>
      <c r="F2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A7C9-4E9E-2D47-928E-A5A2FFC6AE3C}">
  <dimension ref="A1:E22"/>
  <sheetViews>
    <sheetView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29</v>
      </c>
      <c r="C1" t="s">
        <v>23</v>
      </c>
      <c r="D1" t="s">
        <v>24</v>
      </c>
      <c r="E1" t="s">
        <v>25</v>
      </c>
    </row>
    <row r="2" spans="1:5" x14ac:dyDescent="0.2">
      <c r="A2" t="s">
        <v>26</v>
      </c>
      <c r="B2">
        <v>100899</v>
      </c>
      <c r="C2">
        <f>((B2*200/50)*(100/90))</f>
        <v>448440</v>
      </c>
      <c r="D2">
        <f>AVERAGE(C2:C4)</f>
        <v>394780.74074074073</v>
      </c>
      <c r="E2">
        <f>(C2/$D$2)*100</f>
        <v>113.59216742908393</v>
      </c>
    </row>
    <row r="3" spans="1:5" x14ac:dyDescent="0.2">
      <c r="A3" t="s">
        <v>27</v>
      </c>
      <c r="B3">
        <v>86842</v>
      </c>
      <c r="C3">
        <f t="shared" ref="C3:C22" si="0">((B3*200/50)*(100/90))</f>
        <v>385964.44444444444</v>
      </c>
      <c r="E3">
        <f t="shared" ref="E3:E22" si="1">(C3/$D$2)*100</f>
        <v>97.766786626988448</v>
      </c>
    </row>
    <row r="4" spans="1:5" x14ac:dyDescent="0.2">
      <c r="A4" t="s">
        <v>28</v>
      </c>
      <c r="B4">
        <v>78736</v>
      </c>
      <c r="C4">
        <f t="shared" si="0"/>
        <v>349937.77777777781</v>
      </c>
      <c r="E4">
        <f t="shared" si="1"/>
        <v>88.641045943927637</v>
      </c>
    </row>
    <row r="5" spans="1:5" x14ac:dyDescent="0.2">
      <c r="A5" t="s">
        <v>1</v>
      </c>
      <c r="B5">
        <v>93194</v>
      </c>
      <c r="C5">
        <f t="shared" si="0"/>
        <v>414195.55555555556</v>
      </c>
      <c r="E5">
        <f t="shared" si="1"/>
        <v>104.91787283705536</v>
      </c>
    </row>
    <row r="6" spans="1:5" x14ac:dyDescent="0.2">
      <c r="A6" t="s">
        <v>2</v>
      </c>
      <c r="B6">
        <v>73106</v>
      </c>
      <c r="C6">
        <f t="shared" si="0"/>
        <v>324915.55555555556</v>
      </c>
      <c r="E6">
        <f t="shared" si="1"/>
        <v>82.302787857863919</v>
      </c>
    </row>
    <row r="7" spans="1:5" x14ac:dyDescent="0.2">
      <c r="A7" t="s">
        <v>3</v>
      </c>
      <c r="B7">
        <v>65324</v>
      </c>
      <c r="C7">
        <f t="shared" si="0"/>
        <v>290328.88888888888</v>
      </c>
      <c r="E7">
        <f t="shared" si="1"/>
        <v>73.541806609951323</v>
      </c>
    </row>
    <row r="8" spans="1:5" x14ac:dyDescent="0.2">
      <c r="A8" t="s">
        <v>4</v>
      </c>
      <c r="B8">
        <v>87958</v>
      </c>
      <c r="C8">
        <f t="shared" si="0"/>
        <v>390924.44444444444</v>
      </c>
      <c r="E8">
        <f t="shared" si="1"/>
        <v>99.023180236943531</v>
      </c>
    </row>
    <row r="9" spans="1:5" x14ac:dyDescent="0.2">
      <c r="A9" t="s">
        <v>5</v>
      </c>
      <c r="B9">
        <v>79502</v>
      </c>
      <c r="C9">
        <f t="shared" si="0"/>
        <v>353342.22222222225</v>
      </c>
      <c r="E9">
        <f t="shared" si="1"/>
        <v>89.503409299864529</v>
      </c>
    </row>
    <row r="10" spans="1:5" x14ac:dyDescent="0.2">
      <c r="A10" t="s">
        <v>6</v>
      </c>
      <c r="B10">
        <v>69902</v>
      </c>
      <c r="C10">
        <f t="shared" si="0"/>
        <v>310675.55555555556</v>
      </c>
      <c r="E10">
        <f t="shared" si="1"/>
        <v>78.695722332508993</v>
      </c>
    </row>
    <row r="11" spans="1:5" x14ac:dyDescent="0.2">
      <c r="A11" t="s">
        <v>7</v>
      </c>
      <c r="B11">
        <v>70209</v>
      </c>
      <c r="C11">
        <f t="shared" si="0"/>
        <v>312040</v>
      </c>
      <c r="E11">
        <f t="shared" si="1"/>
        <v>79.041343155319225</v>
      </c>
    </row>
    <row r="12" spans="1:5" x14ac:dyDescent="0.2">
      <c r="A12" t="s">
        <v>8</v>
      </c>
      <c r="B12">
        <v>66049</v>
      </c>
      <c r="C12">
        <f t="shared" si="0"/>
        <v>293551.11111111112</v>
      </c>
      <c r="E12">
        <f t="shared" si="1"/>
        <v>74.358012136131819</v>
      </c>
    </row>
    <row r="13" spans="1:5" x14ac:dyDescent="0.2">
      <c r="A13" t="s">
        <v>9</v>
      </c>
      <c r="B13">
        <v>61946</v>
      </c>
      <c r="C13">
        <f t="shared" si="0"/>
        <v>275315.55555555556</v>
      </c>
      <c r="E13">
        <f t="shared" si="1"/>
        <v>69.738851758313103</v>
      </c>
    </row>
    <row r="14" spans="1:5" x14ac:dyDescent="0.2">
      <c r="A14" t="s">
        <v>10</v>
      </c>
      <c r="B14">
        <v>2691</v>
      </c>
      <c r="C14">
        <f t="shared" si="0"/>
        <v>11960</v>
      </c>
      <c r="E14">
        <f t="shared" si="1"/>
        <v>3.0295297530368477</v>
      </c>
    </row>
    <row r="15" spans="1:5" x14ac:dyDescent="0.2">
      <c r="A15" t="s">
        <v>11</v>
      </c>
      <c r="B15">
        <v>4140</v>
      </c>
      <c r="C15">
        <f t="shared" si="0"/>
        <v>18400</v>
      </c>
      <c r="E15">
        <f t="shared" si="1"/>
        <v>4.6608150046720729</v>
      </c>
    </row>
    <row r="16" spans="1:5" x14ac:dyDescent="0.2">
      <c r="A16" t="s">
        <v>12</v>
      </c>
      <c r="B16">
        <v>4180</v>
      </c>
      <c r="C16">
        <f t="shared" si="0"/>
        <v>18577.777777777777</v>
      </c>
      <c r="E16">
        <f t="shared" si="1"/>
        <v>4.7058470337027209</v>
      </c>
    </row>
    <row r="17" spans="1:5" x14ac:dyDescent="0.2">
      <c r="A17" t="s">
        <v>13</v>
      </c>
      <c r="B17">
        <v>21</v>
      </c>
      <c r="C17">
        <f t="shared" si="0"/>
        <v>93.333333333333343</v>
      </c>
      <c r="E17">
        <f t="shared" si="1"/>
        <v>2.3641815241090231E-2</v>
      </c>
    </row>
    <row r="18" spans="1:5" x14ac:dyDescent="0.2">
      <c r="A18" t="s">
        <v>14</v>
      </c>
      <c r="B18">
        <v>21</v>
      </c>
      <c r="C18">
        <f t="shared" si="0"/>
        <v>93.333333333333343</v>
      </c>
      <c r="E18">
        <f t="shared" si="1"/>
        <v>2.3641815241090231E-2</v>
      </c>
    </row>
    <row r="19" spans="1:5" x14ac:dyDescent="0.2">
      <c r="A19" t="s">
        <v>15</v>
      </c>
      <c r="B19">
        <v>24</v>
      </c>
      <c r="C19">
        <f t="shared" si="0"/>
        <v>106.66666666666667</v>
      </c>
      <c r="E19">
        <f t="shared" si="1"/>
        <v>2.7019217418388832E-2</v>
      </c>
    </row>
    <row r="20" spans="1:5" x14ac:dyDescent="0.2">
      <c r="A20" t="s">
        <v>16</v>
      </c>
      <c r="B20">
        <v>10</v>
      </c>
      <c r="C20">
        <f t="shared" si="0"/>
        <v>44.444444444444443</v>
      </c>
      <c r="E20">
        <f t="shared" si="1"/>
        <v>1.1258007257662012E-2</v>
      </c>
    </row>
    <row r="21" spans="1:5" x14ac:dyDescent="0.2">
      <c r="A21" t="s">
        <v>17</v>
      </c>
      <c r="B21">
        <v>11</v>
      </c>
      <c r="C21">
        <f t="shared" si="0"/>
        <v>48.888888888888893</v>
      </c>
      <c r="E21">
        <f t="shared" si="1"/>
        <v>1.2383807983428214E-2</v>
      </c>
    </row>
    <row r="22" spans="1:5" x14ac:dyDescent="0.2">
      <c r="A22" t="s">
        <v>18</v>
      </c>
      <c r="B22">
        <v>5</v>
      </c>
      <c r="C22">
        <f t="shared" si="0"/>
        <v>22.222222222222221</v>
      </c>
      <c r="E22">
        <f t="shared" si="1"/>
        <v>5.629003628831006E-3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CB18-DC9D-E74C-9048-148AF6CB4B9E}">
  <dimension ref="A1:E22"/>
  <sheetViews>
    <sheetView workbookViewId="0">
      <selection activeCell="C2" sqref="C2:C22"/>
    </sheetView>
  </sheetViews>
  <sheetFormatPr baseColWidth="10" defaultRowHeight="16" x14ac:dyDescent="0.2"/>
  <cols>
    <col min="2" max="2" width="16.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20</v>
      </c>
      <c r="C1" t="s">
        <v>23</v>
      </c>
      <c r="D1" t="s">
        <v>24</v>
      </c>
      <c r="E1" t="s">
        <v>25</v>
      </c>
    </row>
    <row r="2" spans="1:5" x14ac:dyDescent="0.2">
      <c r="A2" t="s">
        <v>26</v>
      </c>
      <c r="B2">
        <v>26829</v>
      </c>
      <c r="C2">
        <f>((B2*200/50)*(100/90))</f>
        <v>119240</v>
      </c>
      <c r="D2">
        <f>AVERAGE(C2:C4)</f>
        <v>106829.62962962962</v>
      </c>
      <c r="E2">
        <f>(C2/$D$2)*100</f>
        <v>111.61697406739704</v>
      </c>
    </row>
    <row r="3" spans="1:5" x14ac:dyDescent="0.2">
      <c r="A3" t="s">
        <v>27</v>
      </c>
      <c r="B3">
        <v>23853</v>
      </c>
      <c r="C3">
        <f t="shared" ref="C3:C22" si="0">((B3*200/50)*(100/90))</f>
        <v>106013.33333333334</v>
      </c>
      <c r="E3">
        <f t="shared" ref="E3:E22" si="1">(C3/$D$2)*100</f>
        <v>99.235889613091132</v>
      </c>
    </row>
    <row r="4" spans="1:5" x14ac:dyDescent="0.2">
      <c r="A4" t="s">
        <v>28</v>
      </c>
      <c r="B4">
        <v>21428</v>
      </c>
      <c r="C4">
        <f t="shared" si="0"/>
        <v>95235.555555555562</v>
      </c>
      <c r="E4">
        <f t="shared" si="1"/>
        <v>89.147136319511873</v>
      </c>
    </row>
    <row r="5" spans="1:5" x14ac:dyDescent="0.2">
      <c r="A5" t="s">
        <v>1</v>
      </c>
      <c r="B5">
        <v>24644</v>
      </c>
      <c r="C5">
        <f t="shared" si="0"/>
        <v>109528.88888888889</v>
      </c>
      <c r="E5">
        <f t="shared" si="1"/>
        <v>102.5266953265844</v>
      </c>
    </row>
    <row r="6" spans="1:5" x14ac:dyDescent="0.2">
      <c r="A6" t="s">
        <v>2</v>
      </c>
      <c r="B6">
        <v>18639</v>
      </c>
      <c r="C6">
        <f t="shared" si="0"/>
        <v>82840</v>
      </c>
      <c r="E6">
        <f t="shared" si="1"/>
        <v>77.544029954236592</v>
      </c>
    </row>
    <row r="7" spans="1:5" x14ac:dyDescent="0.2">
      <c r="A7" t="s">
        <v>3</v>
      </c>
      <c r="B7">
        <v>16378</v>
      </c>
      <c r="C7">
        <f t="shared" si="0"/>
        <v>72791.111111111109</v>
      </c>
      <c r="E7">
        <f t="shared" si="1"/>
        <v>68.137567605047849</v>
      </c>
    </row>
    <row r="8" spans="1:5" x14ac:dyDescent="0.2">
      <c r="A8" t="s">
        <v>4</v>
      </c>
      <c r="B8">
        <v>22213</v>
      </c>
      <c r="C8">
        <f t="shared" si="0"/>
        <v>98724.444444444453</v>
      </c>
      <c r="E8">
        <f t="shared" si="1"/>
        <v>92.412980169185971</v>
      </c>
    </row>
    <row r="9" spans="1:5" x14ac:dyDescent="0.2">
      <c r="A9" t="s">
        <v>5</v>
      </c>
      <c r="B9">
        <v>20305</v>
      </c>
      <c r="C9">
        <f t="shared" si="0"/>
        <v>90244.444444444453</v>
      </c>
      <c r="E9">
        <f t="shared" si="1"/>
        <v>84.475107474691455</v>
      </c>
    </row>
    <row r="10" spans="1:5" x14ac:dyDescent="0.2">
      <c r="A10" t="s">
        <v>6</v>
      </c>
      <c r="B10">
        <v>17743</v>
      </c>
      <c r="C10">
        <f t="shared" si="0"/>
        <v>78857.777777777781</v>
      </c>
      <c r="E10">
        <f t="shared" si="1"/>
        <v>73.816391623907933</v>
      </c>
    </row>
    <row r="11" spans="1:5" x14ac:dyDescent="0.2">
      <c r="A11" t="s">
        <v>7</v>
      </c>
      <c r="B11">
        <v>15493</v>
      </c>
      <c r="C11">
        <f t="shared" si="0"/>
        <v>68857.777777777781</v>
      </c>
      <c r="E11">
        <f t="shared" si="1"/>
        <v>64.455692691720984</v>
      </c>
    </row>
    <row r="12" spans="1:5" x14ac:dyDescent="0.2">
      <c r="A12" t="s">
        <v>8</v>
      </c>
      <c r="B12">
        <v>15063</v>
      </c>
      <c r="C12">
        <f t="shared" si="0"/>
        <v>66946.666666666672</v>
      </c>
      <c r="E12">
        <f t="shared" si="1"/>
        <v>62.666759118014156</v>
      </c>
    </row>
    <row r="13" spans="1:5" x14ac:dyDescent="0.2">
      <c r="A13" t="s">
        <v>9</v>
      </c>
      <c r="B13">
        <v>14052</v>
      </c>
      <c r="C13">
        <f t="shared" si="0"/>
        <v>62453.333333333336</v>
      </c>
      <c r="E13">
        <f t="shared" si="1"/>
        <v>58.460685064484821</v>
      </c>
    </row>
    <row r="14" spans="1:5" x14ac:dyDescent="0.2">
      <c r="A14" t="s">
        <v>10</v>
      </c>
      <c r="B14">
        <v>344</v>
      </c>
      <c r="C14">
        <f t="shared" si="0"/>
        <v>1528.8888888888889</v>
      </c>
      <c r="E14">
        <f t="shared" si="1"/>
        <v>1.4311468589654697</v>
      </c>
    </row>
    <row r="15" spans="1:5" x14ac:dyDescent="0.2">
      <c r="A15" t="s">
        <v>11</v>
      </c>
      <c r="B15">
        <v>495</v>
      </c>
      <c r="C15">
        <f t="shared" si="0"/>
        <v>2200</v>
      </c>
      <c r="E15">
        <f t="shared" si="1"/>
        <v>2.0593537650811262</v>
      </c>
    </row>
    <row r="16" spans="1:5" x14ac:dyDescent="0.2">
      <c r="A16" t="s">
        <v>12</v>
      </c>
      <c r="B16">
        <v>467</v>
      </c>
      <c r="C16">
        <f t="shared" si="0"/>
        <v>2075.5555555555557</v>
      </c>
      <c r="E16">
        <f t="shared" si="1"/>
        <v>1.9428650672583556</v>
      </c>
    </row>
    <row r="17" spans="1:5" x14ac:dyDescent="0.2">
      <c r="A17" t="s">
        <v>13</v>
      </c>
      <c r="B17">
        <v>3</v>
      </c>
      <c r="C17">
        <f t="shared" si="0"/>
        <v>13.333333333333334</v>
      </c>
      <c r="E17">
        <f t="shared" si="1"/>
        <v>1.2480931909582584E-2</v>
      </c>
    </row>
    <row r="18" spans="1:5" x14ac:dyDescent="0.2">
      <c r="A18" t="s">
        <v>14</v>
      </c>
      <c r="B18">
        <v>6</v>
      </c>
      <c r="C18">
        <f t="shared" si="0"/>
        <v>26.666666666666668</v>
      </c>
      <c r="E18">
        <f t="shared" si="1"/>
        <v>2.4961863819165167E-2</v>
      </c>
    </row>
    <row r="19" spans="1:5" x14ac:dyDescent="0.2">
      <c r="A19" t="s">
        <v>15</v>
      </c>
      <c r="B19">
        <v>9</v>
      </c>
      <c r="C19">
        <f t="shared" si="0"/>
        <v>40</v>
      </c>
      <c r="E19">
        <f t="shared" si="1"/>
        <v>3.7442795728747751E-2</v>
      </c>
    </row>
    <row r="20" spans="1:5" x14ac:dyDescent="0.2">
      <c r="A20" t="s">
        <v>16</v>
      </c>
      <c r="B20">
        <v>2</v>
      </c>
      <c r="C20">
        <f t="shared" si="0"/>
        <v>8.8888888888888893</v>
      </c>
      <c r="E20">
        <f t="shared" si="1"/>
        <v>8.3206212730550563E-3</v>
      </c>
    </row>
    <row r="21" spans="1:5" x14ac:dyDescent="0.2">
      <c r="A21" t="s">
        <v>17</v>
      </c>
      <c r="B21">
        <v>2</v>
      </c>
      <c r="C21">
        <f t="shared" si="0"/>
        <v>8.8888888888888893</v>
      </c>
      <c r="E21">
        <f t="shared" si="1"/>
        <v>8.3206212730550563E-3</v>
      </c>
    </row>
    <row r="22" spans="1:5" x14ac:dyDescent="0.2">
      <c r="A22" t="s">
        <v>18</v>
      </c>
      <c r="B22">
        <v>1</v>
      </c>
      <c r="C22">
        <f t="shared" si="0"/>
        <v>4.4444444444444446</v>
      </c>
      <c r="E22">
        <f t="shared" si="1"/>
        <v>4.1603106365275281E-3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D025-2DC6-5F43-B728-4BBC6182ADBC}">
  <dimension ref="A1:E22"/>
  <sheetViews>
    <sheetView workbookViewId="0">
      <selection activeCell="C2" sqref="C2:C22"/>
    </sheetView>
  </sheetViews>
  <sheetFormatPr baseColWidth="10" defaultRowHeight="16" x14ac:dyDescent="0.2"/>
  <cols>
    <col min="2" max="2" width="15.8320312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19</v>
      </c>
      <c r="C1" t="s">
        <v>23</v>
      </c>
      <c r="D1" t="s">
        <v>24</v>
      </c>
      <c r="E1" t="s">
        <v>25</v>
      </c>
    </row>
    <row r="2" spans="1:5" x14ac:dyDescent="0.2">
      <c r="A2" t="s">
        <v>26</v>
      </c>
      <c r="B2">
        <v>73227</v>
      </c>
      <c r="C2">
        <f>((B2*200/50)*(100/90))</f>
        <v>325453.33333333337</v>
      </c>
      <c r="D2">
        <f>AVERAGE(C2:C4)</f>
        <v>284398.51851851848</v>
      </c>
      <c r="E2">
        <f>(C2/$D$2)*100</f>
        <v>114.43566409159816</v>
      </c>
    </row>
    <row r="3" spans="1:5" x14ac:dyDescent="0.2">
      <c r="A3" t="s">
        <v>27</v>
      </c>
      <c r="B3">
        <v>62173</v>
      </c>
      <c r="C3">
        <f t="shared" ref="C3:C22" si="0">((B3*200/50)*(100/90))</f>
        <v>276324.44444444444</v>
      </c>
      <c r="E3">
        <f t="shared" ref="E3:E22" si="1">(C3/$D$2)*100</f>
        <v>97.16099995311744</v>
      </c>
    </row>
    <row r="4" spans="1:5" x14ac:dyDescent="0.2">
      <c r="A4" t="s">
        <v>28</v>
      </c>
      <c r="B4">
        <v>56569</v>
      </c>
      <c r="C4">
        <f t="shared" si="0"/>
        <v>251417.77777777778</v>
      </c>
      <c r="E4">
        <f t="shared" si="1"/>
        <v>88.403335955284462</v>
      </c>
    </row>
    <row r="5" spans="1:5" x14ac:dyDescent="0.2">
      <c r="A5" t="s">
        <v>1</v>
      </c>
      <c r="B5">
        <v>67786</v>
      </c>
      <c r="C5">
        <f t="shared" si="0"/>
        <v>301271.11111111112</v>
      </c>
      <c r="E5">
        <f t="shared" si="1"/>
        <v>105.93272872182489</v>
      </c>
    </row>
    <row r="6" spans="1:5" x14ac:dyDescent="0.2">
      <c r="A6" t="s">
        <v>2</v>
      </c>
      <c r="B6">
        <v>53826</v>
      </c>
      <c r="C6">
        <f t="shared" si="0"/>
        <v>239226.66666666669</v>
      </c>
      <c r="E6">
        <f t="shared" si="1"/>
        <v>84.116706343211675</v>
      </c>
    </row>
    <row r="7" spans="1:5" x14ac:dyDescent="0.2">
      <c r="A7" t="s">
        <v>3</v>
      </c>
      <c r="B7">
        <v>48375</v>
      </c>
      <c r="C7">
        <f t="shared" si="0"/>
        <v>215000</v>
      </c>
      <c r="E7">
        <f t="shared" si="1"/>
        <v>75.598143450244578</v>
      </c>
    </row>
    <row r="8" spans="1:5" x14ac:dyDescent="0.2">
      <c r="A8" t="s">
        <v>4</v>
      </c>
      <c r="B8">
        <v>65031</v>
      </c>
      <c r="C8">
        <f t="shared" si="0"/>
        <v>289026.66666666669</v>
      </c>
      <c r="E8">
        <f t="shared" si="1"/>
        <v>101.6273460819195</v>
      </c>
    </row>
    <row r="9" spans="1:5" x14ac:dyDescent="0.2">
      <c r="A9" t="s">
        <v>5</v>
      </c>
      <c r="B9">
        <v>58530</v>
      </c>
      <c r="C9">
        <f t="shared" si="0"/>
        <v>260133.33333333334</v>
      </c>
      <c r="E9">
        <f t="shared" si="1"/>
        <v>91.467893253598248</v>
      </c>
    </row>
    <row r="10" spans="1:5" x14ac:dyDescent="0.2">
      <c r="A10" t="s">
        <v>6</v>
      </c>
      <c r="B10">
        <v>51560</v>
      </c>
      <c r="C10">
        <f t="shared" si="0"/>
        <v>229155.55555555556</v>
      </c>
      <c r="E10">
        <f t="shared" si="1"/>
        <v>80.575509587485499</v>
      </c>
    </row>
    <row r="11" spans="1:5" x14ac:dyDescent="0.2">
      <c r="A11" t="s">
        <v>7</v>
      </c>
      <c r="B11">
        <v>54114</v>
      </c>
      <c r="C11">
        <f t="shared" si="0"/>
        <v>240506.66666666669</v>
      </c>
      <c r="E11">
        <f t="shared" si="1"/>
        <v>84.566779011194541</v>
      </c>
    </row>
    <row r="12" spans="1:5" x14ac:dyDescent="0.2">
      <c r="A12" t="s">
        <v>8</v>
      </c>
      <c r="B12">
        <v>50356</v>
      </c>
      <c r="C12">
        <f t="shared" si="0"/>
        <v>223804.44444444447</v>
      </c>
      <c r="E12">
        <f t="shared" si="1"/>
        <v>78.693955794946078</v>
      </c>
    </row>
    <row r="13" spans="1:5" x14ac:dyDescent="0.2">
      <c r="A13" t="s">
        <v>9</v>
      </c>
      <c r="B13">
        <v>47324</v>
      </c>
      <c r="C13">
        <f t="shared" si="0"/>
        <v>210328.88888888891</v>
      </c>
      <c r="E13">
        <f t="shared" si="1"/>
        <v>73.955690762571052</v>
      </c>
    </row>
    <row r="14" spans="1:5" x14ac:dyDescent="0.2">
      <c r="A14" t="s">
        <v>10</v>
      </c>
      <c r="B14">
        <v>2325</v>
      </c>
      <c r="C14">
        <f t="shared" si="0"/>
        <v>10333.333333333334</v>
      </c>
      <c r="E14">
        <f t="shared" si="1"/>
        <v>3.6333991425698944</v>
      </c>
    </row>
    <row r="15" spans="1:5" x14ac:dyDescent="0.2">
      <c r="A15" t="s">
        <v>11</v>
      </c>
      <c r="B15">
        <v>3610</v>
      </c>
      <c r="C15">
        <f t="shared" si="0"/>
        <v>16044.444444444445</v>
      </c>
      <c r="E15">
        <f t="shared" si="1"/>
        <v>5.6415358729794924</v>
      </c>
    </row>
    <row r="16" spans="1:5" x14ac:dyDescent="0.2">
      <c r="A16" t="s">
        <v>12</v>
      </c>
      <c r="B16">
        <v>3675</v>
      </c>
      <c r="C16">
        <f t="shared" si="0"/>
        <v>16333.333333333334</v>
      </c>
      <c r="E16">
        <f t="shared" si="1"/>
        <v>5.743114773739511</v>
      </c>
    </row>
    <row r="17" spans="1:5" x14ac:dyDescent="0.2">
      <c r="A17" t="s">
        <v>13</v>
      </c>
      <c r="B17">
        <v>18</v>
      </c>
      <c r="C17">
        <f t="shared" si="0"/>
        <v>80</v>
      </c>
      <c r="E17">
        <f t="shared" si="1"/>
        <v>2.8129541748928216E-2</v>
      </c>
    </row>
    <row r="18" spans="1:5" x14ac:dyDescent="0.2">
      <c r="A18" t="s">
        <v>14</v>
      </c>
      <c r="B18">
        <v>15</v>
      </c>
      <c r="C18">
        <f t="shared" si="0"/>
        <v>66.666666666666671</v>
      </c>
      <c r="E18">
        <f t="shared" si="1"/>
        <v>2.3441284790773516E-2</v>
      </c>
    </row>
    <row r="19" spans="1:5" x14ac:dyDescent="0.2">
      <c r="A19" t="s">
        <v>15</v>
      </c>
      <c r="B19">
        <v>15</v>
      </c>
      <c r="C19">
        <f t="shared" si="0"/>
        <v>66.666666666666671</v>
      </c>
      <c r="E19">
        <f t="shared" si="1"/>
        <v>2.3441284790773516E-2</v>
      </c>
    </row>
    <row r="20" spans="1:5" x14ac:dyDescent="0.2">
      <c r="A20" t="s">
        <v>16</v>
      </c>
      <c r="B20">
        <v>8</v>
      </c>
      <c r="C20">
        <f t="shared" si="0"/>
        <v>35.555555555555557</v>
      </c>
      <c r="E20">
        <f t="shared" si="1"/>
        <v>1.2502018555079208E-2</v>
      </c>
    </row>
    <row r="21" spans="1:5" x14ac:dyDescent="0.2">
      <c r="A21" t="s">
        <v>17</v>
      </c>
      <c r="B21">
        <v>9</v>
      </c>
      <c r="C21">
        <f t="shared" si="0"/>
        <v>40</v>
      </c>
      <c r="E21">
        <f t="shared" si="1"/>
        <v>1.4064770874464108E-2</v>
      </c>
    </row>
    <row r="22" spans="1:5" x14ac:dyDescent="0.2">
      <c r="A22" t="s">
        <v>18</v>
      </c>
      <c r="B22">
        <v>4</v>
      </c>
      <c r="C22">
        <f t="shared" si="0"/>
        <v>17.777777777777779</v>
      </c>
      <c r="E22">
        <f t="shared" si="1"/>
        <v>6.2510092775396042E-3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BDA0-F2D4-B64B-B9EC-428EF885995E}">
  <dimension ref="A1:E22"/>
  <sheetViews>
    <sheetView workbookViewId="0">
      <selection activeCell="C2" sqref="C2:C22"/>
    </sheetView>
  </sheetViews>
  <sheetFormatPr baseColWidth="10" defaultRowHeight="16" x14ac:dyDescent="0.2"/>
  <cols>
    <col min="2" max="2" width="22.664062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21</v>
      </c>
      <c r="C1" t="s">
        <v>23</v>
      </c>
      <c r="D1" t="s">
        <v>24</v>
      </c>
      <c r="E1" t="s">
        <v>25</v>
      </c>
    </row>
    <row r="2" spans="1:5" x14ac:dyDescent="0.2">
      <c r="A2" t="s">
        <v>26</v>
      </c>
      <c r="B2">
        <v>19091</v>
      </c>
      <c r="C2">
        <f>((B2*200/50)*(100/90))</f>
        <v>84848.888888888891</v>
      </c>
      <c r="D2">
        <f>AVERAGE(C2:C4)</f>
        <v>76659.25925925927</v>
      </c>
      <c r="E2">
        <f>(C2/$D$2)*100</f>
        <v>110.68315779302347</v>
      </c>
    </row>
    <row r="3" spans="1:5" x14ac:dyDescent="0.2">
      <c r="A3" t="s">
        <v>27</v>
      </c>
      <c r="B3">
        <v>16916</v>
      </c>
      <c r="C3">
        <f t="shared" ref="C3:C22" si="0">((B3*200/50)*(100/90))</f>
        <v>75182.222222222219</v>
      </c>
      <c r="E3">
        <f t="shared" ref="E3:E22" si="1">(C3/$D$2)*100</f>
        <v>98.073243791670677</v>
      </c>
    </row>
    <row r="4" spans="1:5" x14ac:dyDescent="0.2">
      <c r="A4" t="s">
        <v>28</v>
      </c>
      <c r="B4">
        <v>15738</v>
      </c>
      <c r="C4">
        <f t="shared" si="0"/>
        <v>69946.666666666672</v>
      </c>
      <c r="E4">
        <f t="shared" si="1"/>
        <v>91.243598415305811</v>
      </c>
    </row>
    <row r="5" spans="1:5" x14ac:dyDescent="0.2">
      <c r="A5" t="s">
        <v>1</v>
      </c>
      <c r="B5">
        <v>16965</v>
      </c>
      <c r="C5">
        <f t="shared" si="0"/>
        <v>75400</v>
      </c>
      <c r="E5">
        <f t="shared" si="1"/>
        <v>98.357329210551725</v>
      </c>
    </row>
    <row r="6" spans="1:5" x14ac:dyDescent="0.2">
      <c r="A6" t="s">
        <v>2</v>
      </c>
      <c r="B6">
        <v>13594</v>
      </c>
      <c r="C6">
        <f t="shared" si="0"/>
        <v>60417.777777777781</v>
      </c>
      <c r="E6">
        <f t="shared" si="1"/>
        <v>78.813411923857373</v>
      </c>
    </row>
    <row r="7" spans="1:5" x14ac:dyDescent="0.2">
      <c r="A7" t="s">
        <v>3</v>
      </c>
      <c r="B7">
        <v>11816</v>
      </c>
      <c r="C7">
        <f t="shared" si="0"/>
        <v>52515.555555555555</v>
      </c>
      <c r="E7">
        <f t="shared" si="1"/>
        <v>68.505169581602075</v>
      </c>
    </row>
    <row r="8" spans="1:5" x14ac:dyDescent="0.2">
      <c r="A8" t="s">
        <v>4</v>
      </c>
      <c r="B8">
        <v>17809</v>
      </c>
      <c r="C8">
        <f t="shared" si="0"/>
        <v>79151.111111111109</v>
      </c>
      <c r="E8">
        <f t="shared" si="1"/>
        <v>103.25055560923759</v>
      </c>
    </row>
    <row r="9" spans="1:5" x14ac:dyDescent="0.2">
      <c r="A9" t="s">
        <v>5</v>
      </c>
      <c r="B9">
        <v>14795</v>
      </c>
      <c r="C9">
        <f t="shared" si="0"/>
        <v>65755.555555555562</v>
      </c>
      <c r="E9">
        <f t="shared" si="1"/>
        <v>85.776403517248028</v>
      </c>
    </row>
    <row r="10" spans="1:5" x14ac:dyDescent="0.2">
      <c r="A10" t="s">
        <v>6</v>
      </c>
      <c r="B10">
        <v>14057</v>
      </c>
      <c r="C10">
        <f t="shared" si="0"/>
        <v>62475.555555555555</v>
      </c>
      <c r="E10">
        <f t="shared" si="1"/>
        <v>81.497729249202806</v>
      </c>
    </row>
    <row r="11" spans="1:5" x14ac:dyDescent="0.2">
      <c r="A11" t="s">
        <v>7</v>
      </c>
      <c r="B11">
        <v>19896</v>
      </c>
      <c r="C11">
        <f t="shared" si="0"/>
        <v>88426.666666666672</v>
      </c>
      <c r="E11">
        <f t="shared" si="1"/>
        <v>115.35027538892646</v>
      </c>
    </row>
    <row r="12" spans="1:5" x14ac:dyDescent="0.2">
      <c r="A12" t="s">
        <v>8</v>
      </c>
      <c r="B12">
        <v>16946</v>
      </c>
      <c r="C12">
        <f t="shared" si="0"/>
        <v>75315.555555555562</v>
      </c>
      <c r="E12">
        <f t="shared" si="1"/>
        <v>98.247173639965212</v>
      </c>
    </row>
    <row r="13" spans="1:5" x14ac:dyDescent="0.2">
      <c r="A13" t="s">
        <v>9</v>
      </c>
      <c r="B13">
        <v>16283</v>
      </c>
      <c r="C13">
        <f t="shared" si="0"/>
        <v>72368.888888888891</v>
      </c>
      <c r="E13">
        <f t="shared" si="1"/>
        <v>94.403323992656283</v>
      </c>
    </row>
    <row r="14" spans="1:5" x14ac:dyDescent="0.2">
      <c r="A14" t="s">
        <v>10</v>
      </c>
      <c r="B14">
        <v>1875</v>
      </c>
      <c r="C14">
        <f t="shared" si="0"/>
        <v>8333.3333333333339</v>
      </c>
      <c r="E14">
        <f t="shared" si="1"/>
        <v>10.870615518407575</v>
      </c>
    </row>
    <row r="15" spans="1:5" x14ac:dyDescent="0.2">
      <c r="A15" t="s">
        <v>11</v>
      </c>
      <c r="B15">
        <v>2841</v>
      </c>
      <c r="C15">
        <f t="shared" si="0"/>
        <v>12626.666666666668</v>
      </c>
      <c r="E15">
        <f t="shared" si="1"/>
        <v>16.471156633491159</v>
      </c>
    </row>
    <row r="16" spans="1:5" x14ac:dyDescent="0.2">
      <c r="A16" t="s">
        <v>12</v>
      </c>
      <c r="B16">
        <v>2896</v>
      </c>
      <c r="C16">
        <f t="shared" si="0"/>
        <v>12871.111111111111</v>
      </c>
      <c r="E16">
        <f t="shared" si="1"/>
        <v>16.790028022031112</v>
      </c>
    </row>
    <row r="17" spans="1:5" x14ac:dyDescent="0.2">
      <c r="A17" t="s">
        <v>13</v>
      </c>
      <c r="B17">
        <v>12</v>
      </c>
      <c r="C17">
        <f t="shared" si="0"/>
        <v>53.333333333333336</v>
      </c>
      <c r="E17">
        <f t="shared" si="1"/>
        <v>6.9571939317808473E-2</v>
      </c>
    </row>
    <row r="18" spans="1:5" x14ac:dyDescent="0.2">
      <c r="A18" t="s">
        <v>14</v>
      </c>
      <c r="B18">
        <v>3</v>
      </c>
      <c r="C18">
        <f t="shared" si="0"/>
        <v>13.333333333333334</v>
      </c>
      <c r="E18">
        <f t="shared" si="1"/>
        <v>1.7392984829452118E-2</v>
      </c>
    </row>
    <row r="19" spans="1:5" x14ac:dyDescent="0.2">
      <c r="A19" t="s">
        <v>15</v>
      </c>
      <c r="B19">
        <v>11</v>
      </c>
      <c r="C19">
        <f t="shared" si="0"/>
        <v>48.888888888888893</v>
      </c>
      <c r="E19">
        <f t="shared" si="1"/>
        <v>6.3774277707991114E-2</v>
      </c>
    </row>
    <row r="20" spans="1:5" x14ac:dyDescent="0.2">
      <c r="A20" t="s">
        <v>16</v>
      </c>
      <c r="B20">
        <v>7</v>
      </c>
      <c r="C20">
        <f t="shared" si="0"/>
        <v>31.111111111111114</v>
      </c>
      <c r="E20">
        <f t="shared" si="1"/>
        <v>4.0583631268721616E-2</v>
      </c>
    </row>
    <row r="21" spans="1:5" x14ac:dyDescent="0.2">
      <c r="A21" t="s">
        <v>17</v>
      </c>
      <c r="B21">
        <v>5</v>
      </c>
      <c r="C21">
        <f t="shared" si="0"/>
        <v>22.222222222222221</v>
      </c>
      <c r="E21">
        <f t="shared" si="1"/>
        <v>2.8988308049086864E-2</v>
      </c>
    </row>
    <row r="22" spans="1:5" x14ac:dyDescent="0.2">
      <c r="A22" t="s">
        <v>18</v>
      </c>
      <c r="B22">
        <v>3</v>
      </c>
      <c r="C22">
        <f t="shared" si="0"/>
        <v>13.333333333333334</v>
      </c>
      <c r="E22">
        <f t="shared" si="1"/>
        <v>1.7392984829452118E-2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7879-1A6B-7F4C-8FB3-5D7F7F90AE7D}">
  <dimension ref="A1:E22"/>
  <sheetViews>
    <sheetView tabSelected="1"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">
      <c r="A2" t="s">
        <v>26</v>
      </c>
      <c r="B2">
        <v>52510</v>
      </c>
      <c r="C2">
        <f>((B2*200/50)*(100/90))</f>
        <v>233377.77777777778</v>
      </c>
      <c r="D2">
        <f>AVERAGE(C2:C4)</f>
        <v>200754.07407407407</v>
      </c>
      <c r="E2">
        <f>(C2/$D$2)*100</f>
        <v>116.25058114221196</v>
      </c>
    </row>
    <row r="3" spans="1:5" x14ac:dyDescent="0.2">
      <c r="A3" t="s">
        <v>27</v>
      </c>
      <c r="B3">
        <v>43662</v>
      </c>
      <c r="C3">
        <f t="shared" ref="C3:C22" si="0">((B3*200/50)*(100/90))</f>
        <v>194053.33333333334</v>
      </c>
      <c r="E3">
        <f t="shared" ref="E3:E22" si="1">(C3/$D$2)*100</f>
        <v>96.662214317868191</v>
      </c>
    </row>
    <row r="4" spans="1:5" x14ac:dyDescent="0.2">
      <c r="A4" t="s">
        <v>28</v>
      </c>
      <c r="B4">
        <v>39337</v>
      </c>
      <c r="C4">
        <f t="shared" si="0"/>
        <v>174831.11111111112</v>
      </c>
      <c r="E4">
        <f t="shared" si="1"/>
        <v>87.087204539919867</v>
      </c>
    </row>
    <row r="5" spans="1:5" x14ac:dyDescent="0.2">
      <c r="A5" t="s">
        <v>1</v>
      </c>
      <c r="B5">
        <v>49273</v>
      </c>
      <c r="C5">
        <f t="shared" si="0"/>
        <v>218991.11111111112</v>
      </c>
      <c r="E5">
        <f t="shared" si="1"/>
        <v>109.08426746562961</v>
      </c>
    </row>
    <row r="6" spans="1:5" x14ac:dyDescent="0.2">
      <c r="A6" t="s">
        <v>2</v>
      </c>
      <c r="B6">
        <v>38815</v>
      </c>
      <c r="C6">
        <f t="shared" si="0"/>
        <v>172511.11111111112</v>
      </c>
      <c r="E6">
        <f t="shared" si="1"/>
        <v>85.931561741286572</v>
      </c>
    </row>
    <row r="7" spans="1:5" x14ac:dyDescent="0.2">
      <c r="A7" t="s">
        <v>3</v>
      </c>
      <c r="B7">
        <v>35350</v>
      </c>
      <c r="C7">
        <f t="shared" si="0"/>
        <v>157111.11111111112</v>
      </c>
      <c r="E7">
        <f t="shared" si="1"/>
        <v>78.260484543462056</v>
      </c>
    </row>
    <row r="8" spans="1:5" x14ac:dyDescent="0.2">
      <c r="A8" t="s">
        <v>4</v>
      </c>
      <c r="B8">
        <v>45667</v>
      </c>
      <c r="C8">
        <f t="shared" si="0"/>
        <v>202964.44444444447</v>
      </c>
      <c r="E8">
        <f t="shared" si="1"/>
        <v>101.10103387966851</v>
      </c>
    </row>
    <row r="9" spans="1:5" x14ac:dyDescent="0.2">
      <c r="A9" t="s">
        <v>5</v>
      </c>
      <c r="B9">
        <v>42288</v>
      </c>
      <c r="C9">
        <f t="shared" si="0"/>
        <v>187946.66666666669</v>
      </c>
      <c r="E9">
        <f t="shared" si="1"/>
        <v>93.620349939856411</v>
      </c>
    </row>
    <row r="10" spans="1:5" x14ac:dyDescent="0.2">
      <c r="A10" t="s">
        <v>6</v>
      </c>
      <c r="B10">
        <v>36107</v>
      </c>
      <c r="C10">
        <f t="shared" si="0"/>
        <v>160475.55555555556</v>
      </c>
      <c r="E10">
        <f t="shared" si="1"/>
        <v>79.936387988989665</v>
      </c>
    </row>
    <row r="11" spans="1:5" x14ac:dyDescent="0.2">
      <c r="A11" t="s">
        <v>7</v>
      </c>
      <c r="B11">
        <v>32737</v>
      </c>
      <c r="C11">
        <f t="shared" si="0"/>
        <v>145497.77777777778</v>
      </c>
      <c r="E11">
        <f t="shared" si="1"/>
        <v>72.475628925016053</v>
      </c>
    </row>
    <row r="12" spans="1:5" x14ac:dyDescent="0.2">
      <c r="A12" t="s">
        <v>8</v>
      </c>
      <c r="B12">
        <v>31987</v>
      </c>
      <c r="C12">
        <f t="shared" si="0"/>
        <v>142164.44444444444</v>
      </c>
      <c r="E12">
        <f t="shared" si="1"/>
        <v>70.815222605140619</v>
      </c>
    </row>
    <row r="13" spans="1:5" x14ac:dyDescent="0.2">
      <c r="A13" t="s">
        <v>9</v>
      </c>
      <c r="B13">
        <v>29737</v>
      </c>
      <c r="C13">
        <f t="shared" si="0"/>
        <v>132164.44444444444</v>
      </c>
      <c r="E13">
        <f t="shared" si="1"/>
        <v>65.834003645514315</v>
      </c>
    </row>
    <row r="14" spans="1:5" x14ac:dyDescent="0.2">
      <c r="A14" t="s">
        <v>10</v>
      </c>
      <c r="B14">
        <v>400</v>
      </c>
      <c r="C14">
        <f t="shared" si="0"/>
        <v>1777.7777777777778</v>
      </c>
      <c r="E14">
        <f t="shared" si="1"/>
        <v>0.88555003726689741</v>
      </c>
    </row>
    <row r="15" spans="1:5" x14ac:dyDescent="0.2">
      <c r="A15" t="s">
        <v>11</v>
      </c>
      <c r="B15">
        <v>686</v>
      </c>
      <c r="C15">
        <f t="shared" si="0"/>
        <v>3048.8888888888891</v>
      </c>
      <c r="E15">
        <f t="shared" si="1"/>
        <v>1.5187183139127292</v>
      </c>
    </row>
    <row r="16" spans="1:5" x14ac:dyDescent="0.2">
      <c r="A16" t="s">
        <v>12</v>
      </c>
      <c r="B16">
        <v>687</v>
      </c>
      <c r="C16">
        <f t="shared" si="0"/>
        <v>3053.3333333333335</v>
      </c>
      <c r="E16">
        <f t="shared" si="1"/>
        <v>1.5209321890058964</v>
      </c>
    </row>
    <row r="17" spans="1:5" x14ac:dyDescent="0.2">
      <c r="A17" t="s">
        <v>13</v>
      </c>
      <c r="B17">
        <v>6</v>
      </c>
      <c r="C17">
        <f t="shared" si="0"/>
        <v>26.666666666666668</v>
      </c>
      <c r="E17">
        <f t="shared" si="1"/>
        <v>1.3283250559003461E-2</v>
      </c>
    </row>
    <row r="18" spans="1:5" x14ac:dyDescent="0.2">
      <c r="A18" t="s">
        <v>14</v>
      </c>
      <c r="B18">
        <v>10</v>
      </c>
      <c r="C18">
        <f t="shared" si="0"/>
        <v>44.444444444444443</v>
      </c>
      <c r="E18">
        <f t="shared" si="1"/>
        <v>2.2138750931672436E-2</v>
      </c>
    </row>
    <row r="19" spans="1:5" x14ac:dyDescent="0.2">
      <c r="A19" t="s">
        <v>15</v>
      </c>
      <c r="B19">
        <v>3</v>
      </c>
      <c r="C19">
        <f t="shared" si="0"/>
        <v>13.333333333333334</v>
      </c>
      <c r="E19">
        <f t="shared" si="1"/>
        <v>6.6416252795017307E-3</v>
      </c>
    </row>
    <row r="20" spans="1:5" x14ac:dyDescent="0.2">
      <c r="A20" t="s">
        <v>16</v>
      </c>
      <c r="B20">
        <v>1</v>
      </c>
      <c r="C20">
        <f t="shared" si="0"/>
        <v>4.4444444444444446</v>
      </c>
      <c r="E20">
        <f t="shared" si="1"/>
        <v>2.2138750931672436E-3</v>
      </c>
    </row>
    <row r="21" spans="1:5" x14ac:dyDescent="0.2">
      <c r="A21" t="s">
        <v>17</v>
      </c>
      <c r="B21">
        <v>4</v>
      </c>
      <c r="C21">
        <f t="shared" si="0"/>
        <v>17.777777777777779</v>
      </c>
      <c r="E21">
        <f t="shared" si="1"/>
        <v>8.8555003726689743E-3</v>
      </c>
    </row>
    <row r="22" spans="1:5" x14ac:dyDescent="0.2">
      <c r="A22" t="s">
        <v>18</v>
      </c>
      <c r="B22">
        <v>1</v>
      </c>
      <c r="C22">
        <f t="shared" si="0"/>
        <v>4.4444444444444446</v>
      </c>
      <c r="E22">
        <f t="shared" si="1"/>
        <v>2.2138750931672436E-3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Live cells</vt:lpstr>
      <vt:lpstr>CD34-</vt:lpstr>
      <vt:lpstr>CD34+</vt:lpstr>
      <vt:lpstr>CD34+CD38+</vt:lpstr>
      <vt:lpstr>CD34+CD38-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Iasenza</dc:creator>
  <cp:lastModifiedBy>Isabella Iasenza</cp:lastModifiedBy>
  <dcterms:created xsi:type="dcterms:W3CDTF">2024-01-22T15:48:31Z</dcterms:created>
  <dcterms:modified xsi:type="dcterms:W3CDTF">2024-01-30T17:23:54Z</dcterms:modified>
</cp:coreProperties>
</file>