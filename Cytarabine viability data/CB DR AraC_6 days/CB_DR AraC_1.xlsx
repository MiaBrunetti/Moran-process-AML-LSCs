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iasenza/Documents/PhD Winter 2022/II 2024-01-10 CB DR AraC_trial 1/"/>
    </mc:Choice>
  </mc:AlternateContent>
  <xr:revisionPtr revIDLastSave="0" documentId="13_ncr:1_{1A700E9E-6F3A-BA46-9AE7-8557C63E0346}" xr6:coauthVersionLast="47" xr6:coauthVersionMax="47" xr10:uidLastSave="{00000000-0000-0000-0000-000000000000}"/>
  <bookViews>
    <workbookView xWindow="0" yWindow="500" windowWidth="28420" windowHeight="16000" activeTab="5" xr2:uid="{15400350-3218-1245-8FFA-99667100601B}"/>
  </bookViews>
  <sheets>
    <sheet name="Raw data" sheetId="1" r:id="rId1"/>
    <sheet name="Live cells" sheetId="2" r:id="rId2"/>
    <sheet name="CD34-" sheetId="3" r:id="rId3"/>
    <sheet name="CD34+" sheetId="5" r:id="rId4"/>
    <sheet name="CD34+CD38+" sheetId="6" r:id="rId5"/>
    <sheet name="CD34+CD38-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5" l="1"/>
  <c r="C15" i="5"/>
  <c r="C11" i="5"/>
  <c r="C7" i="5"/>
  <c r="C3" i="5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2" i="5"/>
  <c r="C21" i="5"/>
  <c r="C20" i="5"/>
  <c r="C18" i="5"/>
  <c r="C17" i="5"/>
  <c r="C16" i="5"/>
  <c r="C14" i="5"/>
  <c r="C13" i="5"/>
  <c r="C12" i="5"/>
  <c r="C10" i="5"/>
  <c r="C9" i="5"/>
  <c r="C8" i="5"/>
  <c r="C6" i="5"/>
  <c r="C5" i="5"/>
  <c r="C4" i="5"/>
  <c r="C2" i="5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D2" i="6" s="1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2" i="7" s="1"/>
  <c r="E20" i="7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D2" i="2" l="1"/>
  <c r="E20" i="2" s="1"/>
  <c r="E19" i="7"/>
  <c r="E11" i="7"/>
  <c r="E4" i="7"/>
  <c r="E3" i="7"/>
  <c r="E7" i="7"/>
  <c r="E15" i="7"/>
  <c r="E5" i="7"/>
  <c r="E9" i="7"/>
  <c r="E13" i="7"/>
  <c r="E17" i="7"/>
  <c r="E21" i="7"/>
  <c r="E22" i="6"/>
  <c r="E20" i="6"/>
  <c r="E18" i="6"/>
  <c r="E16" i="6"/>
  <c r="E14" i="6"/>
  <c r="E12" i="6"/>
  <c r="E10" i="6"/>
  <c r="E8" i="6"/>
  <c r="E6" i="6"/>
  <c r="E4" i="6"/>
  <c r="E2" i="6"/>
  <c r="E3" i="6"/>
  <c r="E7" i="6"/>
  <c r="E11" i="6"/>
  <c r="E15" i="6"/>
  <c r="E19" i="6"/>
  <c r="E5" i="6"/>
  <c r="E9" i="6"/>
  <c r="E13" i="6"/>
  <c r="E17" i="6"/>
  <c r="E21" i="6"/>
  <c r="E2" i="7"/>
  <c r="E8" i="7"/>
  <c r="E18" i="7"/>
  <c r="D2" i="5"/>
  <c r="E6" i="7"/>
  <c r="E10" i="7"/>
  <c r="E14" i="7"/>
  <c r="E16" i="7"/>
  <c r="E22" i="7"/>
  <c r="D2" i="3"/>
  <c r="E22" i="3" s="1"/>
  <c r="E12" i="7"/>
  <c r="E15" i="2" l="1"/>
  <c r="E12" i="2"/>
  <c r="E3" i="2"/>
  <c r="E2" i="2"/>
  <c r="E7" i="2"/>
  <c r="E8" i="2"/>
  <c r="E6" i="2"/>
  <c r="E19" i="2"/>
  <c r="E10" i="2"/>
  <c r="E14" i="2"/>
  <c r="E18" i="2"/>
  <c r="E22" i="2"/>
  <c r="E9" i="2"/>
  <c r="E21" i="2"/>
  <c r="E5" i="2"/>
  <c r="E13" i="2"/>
  <c r="E17" i="2"/>
  <c r="E11" i="2"/>
  <c r="E4" i="2"/>
  <c r="E16" i="2"/>
  <c r="E21" i="5"/>
  <c r="E19" i="5"/>
  <c r="E17" i="5"/>
  <c r="E15" i="5"/>
  <c r="E13" i="5"/>
  <c r="E11" i="5"/>
  <c r="E9" i="5"/>
  <c r="E7" i="5"/>
  <c r="E5" i="5"/>
  <c r="E3" i="5"/>
  <c r="E22" i="5"/>
  <c r="E20" i="5"/>
  <c r="E18" i="5"/>
  <c r="E16" i="5"/>
  <c r="E14" i="5"/>
  <c r="E12" i="5"/>
  <c r="E10" i="5"/>
  <c r="E8" i="5"/>
  <c r="E6" i="5"/>
  <c r="E4" i="5"/>
  <c r="E20" i="3"/>
  <c r="E18" i="3"/>
  <c r="E16" i="3"/>
  <c r="E14" i="3"/>
  <c r="E12" i="3"/>
  <c r="E10" i="3"/>
  <c r="E8" i="3"/>
  <c r="E6" i="3"/>
  <c r="E4" i="3"/>
  <c r="E19" i="3"/>
  <c r="E17" i="3"/>
  <c r="E15" i="3"/>
  <c r="E13" i="3"/>
  <c r="E11" i="3"/>
  <c r="E9" i="3"/>
  <c r="E7" i="3"/>
  <c r="E5" i="3"/>
  <c r="E3" i="3"/>
  <c r="E2" i="3"/>
  <c r="E21" i="3"/>
  <c r="E2" i="5"/>
</calcChain>
</file>

<file path=xl/sharedStrings.xml><?xml version="1.0" encoding="utf-8"?>
<sst xmlns="http://schemas.openxmlformats.org/spreadsheetml/2006/main" count="157" uniqueCount="30">
  <si>
    <t>Sample:</t>
  </si>
  <si>
    <t>1 nM AraC_B3_B03_004.fcs</t>
  </si>
  <si>
    <t>1 nM AraC_C3_C03_005.fcs</t>
  </si>
  <si>
    <t>1 nM AraC_D3_D03_006.fcs</t>
  </si>
  <si>
    <t>5 nM AraC_B4_B04_007.fcs</t>
  </si>
  <si>
    <t>5 nM AraC_C4_C04_008.fcs</t>
  </si>
  <si>
    <t>5 nM AraC_D4_D04_009.fcs</t>
  </si>
  <si>
    <t>25 nM AraC_B5_B05_010.fcs</t>
  </si>
  <si>
    <t>25 nM AraC_C5_C05_011.fcs</t>
  </si>
  <si>
    <t>25 nM AraC_D5_D05_012.fcs</t>
  </si>
  <si>
    <t>125 nM AraC_B6_B06_013.fcs</t>
  </si>
  <si>
    <t>125 nM AraC_C6_C06_014.fcs</t>
  </si>
  <si>
    <t>125 nM AraC_D6_D06_015.fcs</t>
  </si>
  <si>
    <t>625 nM AraC_B7_B07_016.fcs</t>
  </si>
  <si>
    <t>625 nM AraC_C7_C07_017.fcs</t>
  </si>
  <si>
    <t>625 nM AraC_D7_D07_018.fcs</t>
  </si>
  <si>
    <t>1000 nM AraC_B8_B08_019.fcs</t>
  </si>
  <si>
    <t>1000 nM AraC_C8_C08_020.fcs</t>
  </si>
  <si>
    <t>1000 nM AraC_D8_D08_021.fcs</t>
  </si>
  <si>
    <t>LIVE CELLS</t>
  </si>
  <si>
    <t>CD34+</t>
  </si>
  <si>
    <t>CD34-</t>
  </si>
  <si>
    <t>CD34+CD38+</t>
  </si>
  <si>
    <t>CD34+CD38-</t>
  </si>
  <si>
    <t>adjusted cell count</t>
  </si>
  <si>
    <t>DMSO control average</t>
  </si>
  <si>
    <t>% cells normalized to DMSO</t>
  </si>
  <si>
    <t>DMSO_CB_B2_B02_001.fcs</t>
  </si>
  <si>
    <t>DMSO_CB_C2_C02_002.fcs</t>
  </si>
  <si>
    <t>DMSO_CB_D2_D02_003.fcs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</si>
</sst>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B858-542E-D945-AF50-84E1B5BBC737}">
  <dimension ref="A1:F22"/>
  <sheetViews>
    <sheetView workbookViewId="0">
      <selection activeCell="F1" sqref="F1:F1048576"/>
    </sheetView>
  </sheetViews>
  <sheetFormatPr baseColWidth="10" defaultRowHeight="16" x14ac:dyDescent="0.2"/>
  <cols>
    <col min="1" max="1" width="16" customWidth="1"/>
    <col min="3" max="3" width="15.83203125" customWidth="1"/>
    <col min="5" max="5" width="16.5" customWidth="1"/>
  </cols>
  <sheetData>
    <row r="1" spans="1:6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">
      <c r="A2" t="s">
        <v>27</v>
      </c>
      <c r="B2">
        <v>80623</v>
      </c>
      <c r="C2">
        <v>55303</v>
      </c>
      <c r="D2">
        <v>24569</v>
      </c>
      <c r="E2">
        <v>9555</v>
      </c>
      <c r="F2">
        <v>44737</v>
      </c>
    </row>
    <row r="3" spans="1:6" x14ac:dyDescent="0.2">
      <c r="A3" t="s">
        <v>28</v>
      </c>
      <c r="B3">
        <v>79340</v>
      </c>
      <c r="C3">
        <v>54297</v>
      </c>
      <c r="D3">
        <v>24241</v>
      </c>
      <c r="E3">
        <v>8671</v>
      </c>
      <c r="F3">
        <v>44529</v>
      </c>
    </row>
    <row r="4" spans="1:6" x14ac:dyDescent="0.2">
      <c r="A4" t="s">
        <v>29</v>
      </c>
      <c r="B4">
        <v>79842</v>
      </c>
      <c r="C4">
        <v>55030</v>
      </c>
      <c r="D4">
        <v>24063</v>
      </c>
      <c r="E4">
        <v>9493</v>
      </c>
      <c r="F4">
        <v>44464</v>
      </c>
    </row>
    <row r="5" spans="1:6" x14ac:dyDescent="0.2">
      <c r="A5" t="s">
        <v>1</v>
      </c>
      <c r="B5">
        <v>57271</v>
      </c>
      <c r="C5">
        <v>41872</v>
      </c>
      <c r="D5">
        <v>14873</v>
      </c>
      <c r="E5">
        <v>6619</v>
      </c>
      <c r="F5">
        <v>34481</v>
      </c>
    </row>
    <row r="6" spans="1:6" x14ac:dyDescent="0.2">
      <c r="A6" t="s">
        <v>2</v>
      </c>
      <c r="B6">
        <v>69917</v>
      </c>
      <c r="C6">
        <v>49532</v>
      </c>
      <c r="D6">
        <v>19723</v>
      </c>
      <c r="E6">
        <v>8398</v>
      </c>
      <c r="F6">
        <v>40089</v>
      </c>
    </row>
    <row r="7" spans="1:6" x14ac:dyDescent="0.2">
      <c r="A7" t="s">
        <v>3</v>
      </c>
      <c r="B7">
        <v>68586</v>
      </c>
      <c r="C7">
        <v>47629</v>
      </c>
      <c r="D7">
        <v>20323</v>
      </c>
      <c r="E7">
        <v>8185</v>
      </c>
      <c r="F7">
        <v>38433</v>
      </c>
    </row>
    <row r="8" spans="1:6" x14ac:dyDescent="0.2">
      <c r="A8" t="s">
        <v>4</v>
      </c>
      <c r="B8">
        <v>42608</v>
      </c>
      <c r="C8">
        <v>32152</v>
      </c>
      <c r="D8">
        <v>10126</v>
      </c>
      <c r="E8">
        <v>5957</v>
      </c>
      <c r="F8">
        <v>25574</v>
      </c>
    </row>
    <row r="9" spans="1:6" x14ac:dyDescent="0.2">
      <c r="A9" t="s">
        <v>5</v>
      </c>
      <c r="B9">
        <v>67722</v>
      </c>
      <c r="C9">
        <v>49507</v>
      </c>
      <c r="D9">
        <v>17642</v>
      </c>
      <c r="E9">
        <v>9445</v>
      </c>
      <c r="F9">
        <v>39068</v>
      </c>
    </row>
    <row r="10" spans="1:6" x14ac:dyDescent="0.2">
      <c r="A10" t="s">
        <v>6</v>
      </c>
      <c r="B10">
        <v>70178</v>
      </c>
      <c r="C10">
        <v>50536</v>
      </c>
      <c r="D10">
        <v>19014</v>
      </c>
      <c r="E10">
        <v>10612</v>
      </c>
      <c r="F10">
        <v>38897</v>
      </c>
    </row>
    <row r="11" spans="1:6" x14ac:dyDescent="0.2">
      <c r="A11" t="s">
        <v>7</v>
      </c>
      <c r="B11">
        <v>27222</v>
      </c>
      <c r="C11">
        <v>22108</v>
      </c>
      <c r="D11">
        <v>4925</v>
      </c>
      <c r="E11">
        <v>7622</v>
      </c>
      <c r="F11">
        <v>13775</v>
      </c>
    </row>
    <row r="12" spans="1:6" x14ac:dyDescent="0.2">
      <c r="A12" t="s">
        <v>8</v>
      </c>
      <c r="B12">
        <v>33207</v>
      </c>
      <c r="C12">
        <v>26482</v>
      </c>
      <c r="D12">
        <v>6439</v>
      </c>
      <c r="E12">
        <v>8731</v>
      </c>
      <c r="F12">
        <v>16949</v>
      </c>
    </row>
    <row r="13" spans="1:6" x14ac:dyDescent="0.2">
      <c r="A13" t="s">
        <v>9</v>
      </c>
      <c r="B13">
        <v>33763</v>
      </c>
      <c r="C13">
        <v>26901</v>
      </c>
      <c r="D13">
        <v>6554</v>
      </c>
      <c r="E13">
        <v>9546</v>
      </c>
      <c r="F13">
        <v>16455</v>
      </c>
    </row>
    <row r="14" spans="1:6" x14ac:dyDescent="0.2">
      <c r="A14" t="s">
        <v>10</v>
      </c>
      <c r="B14">
        <v>704</v>
      </c>
      <c r="C14">
        <v>617</v>
      </c>
      <c r="D14">
        <v>85</v>
      </c>
      <c r="E14">
        <v>459</v>
      </c>
      <c r="F14">
        <v>142</v>
      </c>
    </row>
    <row r="15" spans="1:6" x14ac:dyDescent="0.2">
      <c r="A15" t="s">
        <v>11</v>
      </c>
      <c r="B15">
        <v>890</v>
      </c>
      <c r="C15">
        <v>774</v>
      </c>
      <c r="D15">
        <v>109</v>
      </c>
      <c r="E15">
        <v>595</v>
      </c>
      <c r="F15">
        <v>149</v>
      </c>
    </row>
    <row r="16" spans="1:6" x14ac:dyDescent="0.2">
      <c r="A16" t="s">
        <v>12</v>
      </c>
      <c r="B16">
        <v>689</v>
      </c>
      <c r="C16">
        <v>597</v>
      </c>
      <c r="D16">
        <v>90</v>
      </c>
      <c r="E16">
        <v>497</v>
      </c>
      <c r="F16">
        <v>82</v>
      </c>
    </row>
    <row r="17" spans="1:6" x14ac:dyDescent="0.2">
      <c r="A17" t="s">
        <v>13</v>
      </c>
      <c r="B17">
        <v>16</v>
      </c>
      <c r="C17">
        <v>5</v>
      </c>
      <c r="D17">
        <v>11</v>
      </c>
      <c r="E17">
        <v>4</v>
      </c>
      <c r="F17">
        <v>1</v>
      </c>
    </row>
    <row r="18" spans="1:6" x14ac:dyDescent="0.2">
      <c r="A18" t="s">
        <v>14</v>
      </c>
      <c r="B18">
        <v>16</v>
      </c>
      <c r="C18">
        <v>8</v>
      </c>
      <c r="D18">
        <v>7</v>
      </c>
      <c r="E18">
        <v>5</v>
      </c>
      <c r="F18">
        <v>3</v>
      </c>
    </row>
    <row r="19" spans="1:6" x14ac:dyDescent="0.2">
      <c r="A19" t="s">
        <v>15</v>
      </c>
      <c r="B19">
        <v>17</v>
      </c>
      <c r="C19">
        <v>12</v>
      </c>
      <c r="D19">
        <v>5</v>
      </c>
      <c r="E19">
        <v>8</v>
      </c>
      <c r="F19">
        <v>4</v>
      </c>
    </row>
    <row r="20" spans="1:6" x14ac:dyDescent="0.2">
      <c r="A20" t="s">
        <v>16</v>
      </c>
      <c r="B20">
        <v>9</v>
      </c>
      <c r="C20">
        <v>7</v>
      </c>
      <c r="D20">
        <v>2</v>
      </c>
      <c r="E20">
        <v>6</v>
      </c>
      <c r="F20">
        <v>1</v>
      </c>
    </row>
    <row r="21" spans="1:6" x14ac:dyDescent="0.2">
      <c r="A21" t="s">
        <v>17</v>
      </c>
      <c r="B21">
        <v>5</v>
      </c>
      <c r="C21">
        <v>2</v>
      </c>
      <c r="D21">
        <v>3</v>
      </c>
      <c r="E21">
        <v>2</v>
      </c>
      <c r="F21">
        <v>0</v>
      </c>
    </row>
    <row r="22" spans="1:6" x14ac:dyDescent="0.2">
      <c r="A22" t="s">
        <v>18</v>
      </c>
      <c r="B22">
        <v>6</v>
      </c>
      <c r="C22">
        <v>4</v>
      </c>
      <c r="D22">
        <v>2</v>
      </c>
      <c r="E22">
        <v>4</v>
      </c>
      <c r="F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A7C9-4E9E-2D47-928E-A5A2FFC6AE3C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19</v>
      </c>
      <c r="C1" t="s">
        <v>24</v>
      </c>
      <c r="D1" t="s">
        <v>25</v>
      </c>
      <c r="E1" t="s">
        <v>26</v>
      </c>
    </row>
    <row r="2" spans="1:5" x14ac:dyDescent="0.2">
      <c r="A2" t="s">
        <v>27</v>
      </c>
      <c r="B2">
        <v>80623</v>
      </c>
      <c r="C2">
        <f>((B2*200/50)*(100/90))</f>
        <v>358324.44444444444</v>
      </c>
      <c r="D2">
        <f>AVERAGE(C2:C4)</f>
        <v>355266.66666666669</v>
      </c>
      <c r="E2">
        <f>(C2/$D$2)*100</f>
        <v>100.86069931819604</v>
      </c>
    </row>
    <row r="3" spans="1:5" x14ac:dyDescent="0.2">
      <c r="A3" t="s">
        <v>28</v>
      </c>
      <c r="B3">
        <v>79340</v>
      </c>
      <c r="C3">
        <f t="shared" ref="C3:C22" si="0">((B3*200/50)*(100/90))</f>
        <v>352622.22222222225</v>
      </c>
      <c r="E3">
        <f t="shared" ref="E3:E22" si="1">(C3/$D$2)*100</f>
        <v>99.255645211734532</v>
      </c>
    </row>
    <row r="4" spans="1:5" x14ac:dyDescent="0.2">
      <c r="A4" t="s">
        <v>29</v>
      </c>
      <c r="B4">
        <v>79842</v>
      </c>
      <c r="C4">
        <f t="shared" si="0"/>
        <v>354853.33333333337</v>
      </c>
      <c r="E4">
        <f t="shared" si="1"/>
        <v>99.883655470069428</v>
      </c>
    </row>
    <row r="5" spans="1:5" x14ac:dyDescent="0.2">
      <c r="A5" t="s">
        <v>1</v>
      </c>
      <c r="B5">
        <v>57271</v>
      </c>
      <c r="C5">
        <f t="shared" si="0"/>
        <v>254537.77777777778</v>
      </c>
      <c r="E5">
        <f t="shared" si="1"/>
        <v>71.646963157565523</v>
      </c>
    </row>
    <row r="6" spans="1:5" x14ac:dyDescent="0.2">
      <c r="A6" t="s">
        <v>2</v>
      </c>
      <c r="B6">
        <v>69917</v>
      </c>
      <c r="C6">
        <f t="shared" si="0"/>
        <v>310742.22222222225</v>
      </c>
      <c r="E6">
        <f t="shared" si="1"/>
        <v>87.467317195221113</v>
      </c>
    </row>
    <row r="7" spans="1:5" x14ac:dyDescent="0.2">
      <c r="A7" t="s">
        <v>3</v>
      </c>
      <c r="B7">
        <v>68586</v>
      </c>
      <c r="C7">
        <f t="shared" si="0"/>
        <v>304826.66666666669</v>
      </c>
      <c r="E7">
        <f t="shared" si="1"/>
        <v>85.802214299118035</v>
      </c>
    </row>
    <row r="8" spans="1:5" x14ac:dyDescent="0.2">
      <c r="A8" t="s">
        <v>4</v>
      </c>
      <c r="B8">
        <v>42608</v>
      </c>
      <c r="C8">
        <f t="shared" si="0"/>
        <v>189368.88888888891</v>
      </c>
      <c r="E8">
        <f t="shared" si="1"/>
        <v>53.303308938512536</v>
      </c>
    </row>
    <row r="9" spans="1:5" x14ac:dyDescent="0.2">
      <c r="A9" t="s">
        <v>5</v>
      </c>
      <c r="B9">
        <v>67722</v>
      </c>
      <c r="C9">
        <f t="shared" si="0"/>
        <v>300986.66666666669</v>
      </c>
      <c r="E9">
        <f t="shared" si="1"/>
        <v>84.721336085569519</v>
      </c>
    </row>
    <row r="10" spans="1:5" x14ac:dyDescent="0.2">
      <c r="A10" t="s">
        <v>6</v>
      </c>
      <c r="B10">
        <v>70178</v>
      </c>
      <c r="C10">
        <f t="shared" si="0"/>
        <v>311902.22222222225</v>
      </c>
      <c r="E10">
        <f t="shared" si="1"/>
        <v>87.793832488897223</v>
      </c>
    </row>
    <row r="11" spans="1:5" x14ac:dyDescent="0.2">
      <c r="A11" t="s">
        <v>7</v>
      </c>
      <c r="B11">
        <v>27222</v>
      </c>
      <c r="C11">
        <f t="shared" si="0"/>
        <v>120986.66666666667</v>
      </c>
      <c r="E11">
        <f t="shared" si="1"/>
        <v>34.055169825483205</v>
      </c>
    </row>
    <row r="12" spans="1:5" x14ac:dyDescent="0.2">
      <c r="A12" t="s">
        <v>8</v>
      </c>
      <c r="B12">
        <v>33207</v>
      </c>
      <c r="C12">
        <f t="shared" si="0"/>
        <v>147586.66666666669</v>
      </c>
      <c r="E12">
        <f t="shared" si="1"/>
        <v>41.542503283918187</v>
      </c>
    </row>
    <row r="13" spans="1:5" x14ac:dyDescent="0.2">
      <c r="A13" t="s">
        <v>9</v>
      </c>
      <c r="B13">
        <v>33763</v>
      </c>
      <c r="C13">
        <f t="shared" si="0"/>
        <v>150057.77777777778</v>
      </c>
      <c r="E13">
        <f t="shared" si="1"/>
        <v>42.23806843059986</v>
      </c>
    </row>
    <row r="14" spans="1:5" x14ac:dyDescent="0.2">
      <c r="A14" t="s">
        <v>10</v>
      </c>
      <c r="B14">
        <v>704</v>
      </c>
      <c r="C14">
        <f t="shared" si="0"/>
        <v>3128.8888888888891</v>
      </c>
      <c r="E14">
        <f t="shared" si="1"/>
        <v>0.88071558140989559</v>
      </c>
    </row>
    <row r="15" spans="1:5" x14ac:dyDescent="0.2">
      <c r="A15" t="s">
        <v>11</v>
      </c>
      <c r="B15">
        <v>890</v>
      </c>
      <c r="C15">
        <f t="shared" si="0"/>
        <v>3955.5555555555557</v>
      </c>
      <c r="E15">
        <f t="shared" si="1"/>
        <v>1.1134046412710328</v>
      </c>
    </row>
    <row r="16" spans="1:5" x14ac:dyDescent="0.2">
      <c r="A16" t="s">
        <v>12</v>
      </c>
      <c r="B16">
        <v>689</v>
      </c>
      <c r="C16">
        <f t="shared" si="0"/>
        <v>3062.2222222222222</v>
      </c>
      <c r="E16">
        <f t="shared" si="1"/>
        <v>0.86195033464690052</v>
      </c>
    </row>
    <row r="17" spans="1:5" x14ac:dyDescent="0.2">
      <c r="A17" t="s">
        <v>13</v>
      </c>
      <c r="B17">
        <v>16</v>
      </c>
      <c r="C17">
        <f t="shared" si="0"/>
        <v>71.111111111111114</v>
      </c>
      <c r="E17">
        <f t="shared" si="1"/>
        <v>2.0016263213861261E-2</v>
      </c>
    </row>
    <row r="18" spans="1:5" x14ac:dyDescent="0.2">
      <c r="A18" t="s">
        <v>14</v>
      </c>
      <c r="B18">
        <v>16</v>
      </c>
      <c r="C18">
        <f t="shared" si="0"/>
        <v>71.111111111111114</v>
      </c>
      <c r="E18">
        <f t="shared" si="1"/>
        <v>2.0016263213861261E-2</v>
      </c>
    </row>
    <row r="19" spans="1:5" x14ac:dyDescent="0.2">
      <c r="A19" t="s">
        <v>15</v>
      </c>
      <c r="B19">
        <v>17</v>
      </c>
      <c r="C19">
        <f t="shared" si="0"/>
        <v>75.555555555555557</v>
      </c>
      <c r="E19">
        <f t="shared" si="1"/>
        <v>2.1267279664727592E-2</v>
      </c>
    </row>
    <row r="20" spans="1:5" x14ac:dyDescent="0.2">
      <c r="A20" t="s">
        <v>16</v>
      </c>
      <c r="B20">
        <v>9</v>
      </c>
      <c r="C20">
        <f t="shared" si="0"/>
        <v>40</v>
      </c>
      <c r="E20">
        <f t="shared" si="1"/>
        <v>1.125914805779696E-2</v>
      </c>
    </row>
    <row r="21" spans="1:5" x14ac:dyDescent="0.2">
      <c r="A21" t="s">
        <v>17</v>
      </c>
      <c r="B21">
        <v>5</v>
      </c>
      <c r="C21">
        <f t="shared" si="0"/>
        <v>22.222222222222221</v>
      </c>
      <c r="E21">
        <f t="shared" si="1"/>
        <v>6.2550822543316438E-3</v>
      </c>
    </row>
    <row r="22" spans="1:5" x14ac:dyDescent="0.2">
      <c r="A22" t="s">
        <v>18</v>
      </c>
      <c r="B22">
        <v>6</v>
      </c>
      <c r="C22">
        <f t="shared" si="0"/>
        <v>26.666666666666668</v>
      </c>
      <c r="E22">
        <f t="shared" si="1"/>
        <v>7.506098705197973E-3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CB18-DC9D-E74C-9048-148AF6CB4B9E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21</v>
      </c>
      <c r="C1" t="s">
        <v>24</v>
      </c>
      <c r="D1" t="s">
        <v>25</v>
      </c>
      <c r="E1" t="s">
        <v>26</v>
      </c>
    </row>
    <row r="2" spans="1:5" x14ac:dyDescent="0.2">
      <c r="A2" t="s">
        <v>27</v>
      </c>
      <c r="B2">
        <v>24569</v>
      </c>
      <c r="C2">
        <f>((B2*200/50)*(100/90))</f>
        <v>109195.55555555556</v>
      </c>
      <c r="D2">
        <f>AVERAGE(C2:C4)</f>
        <v>107960</v>
      </c>
      <c r="E2">
        <f>(C2/$D$2)*100</f>
        <v>101.14445679469763</v>
      </c>
    </row>
    <row r="3" spans="1:5" x14ac:dyDescent="0.2">
      <c r="A3" t="s">
        <v>28</v>
      </c>
      <c r="B3">
        <v>24241</v>
      </c>
      <c r="C3">
        <f t="shared" ref="C3:C22" si="0">((B3*200/50)*(100/90))</f>
        <v>107737.77777777778</v>
      </c>
      <c r="E3">
        <f t="shared" ref="E3:E22" si="1">(C3/$D$2)*100</f>
        <v>99.794162446996836</v>
      </c>
    </row>
    <row r="4" spans="1:5" x14ac:dyDescent="0.2">
      <c r="A4" t="s">
        <v>29</v>
      </c>
      <c r="B4">
        <v>24063</v>
      </c>
      <c r="C4">
        <f t="shared" si="0"/>
        <v>106946.66666666667</v>
      </c>
      <c r="E4">
        <f t="shared" si="1"/>
        <v>99.061380758305546</v>
      </c>
    </row>
    <row r="5" spans="1:5" x14ac:dyDescent="0.2">
      <c r="A5" t="s">
        <v>1</v>
      </c>
      <c r="B5">
        <v>14873</v>
      </c>
      <c r="C5">
        <f t="shared" si="0"/>
        <v>66102.222222222219</v>
      </c>
      <c r="E5">
        <f t="shared" si="1"/>
        <v>61.22843851632291</v>
      </c>
    </row>
    <row r="6" spans="1:5" x14ac:dyDescent="0.2">
      <c r="A6" t="s">
        <v>2</v>
      </c>
      <c r="B6">
        <v>19723</v>
      </c>
      <c r="C6">
        <f t="shared" si="0"/>
        <v>87657.777777777781</v>
      </c>
      <c r="E6">
        <f t="shared" si="1"/>
        <v>81.194681157630399</v>
      </c>
    </row>
    <row r="7" spans="1:5" x14ac:dyDescent="0.2">
      <c r="A7" t="s">
        <v>3</v>
      </c>
      <c r="B7">
        <v>20323</v>
      </c>
      <c r="C7">
        <f t="shared" si="0"/>
        <v>90324.444444444453</v>
      </c>
      <c r="E7">
        <f t="shared" si="1"/>
        <v>83.664731793668452</v>
      </c>
    </row>
    <row r="8" spans="1:5" x14ac:dyDescent="0.2">
      <c r="A8" t="s">
        <v>4</v>
      </c>
      <c r="B8">
        <v>10126</v>
      </c>
      <c r="C8">
        <f t="shared" si="0"/>
        <v>45004.444444444445</v>
      </c>
      <c r="E8">
        <f t="shared" si="1"/>
        <v>41.686221234201973</v>
      </c>
    </row>
    <row r="9" spans="1:5" x14ac:dyDescent="0.2">
      <c r="A9" t="s">
        <v>5</v>
      </c>
      <c r="B9">
        <v>17642</v>
      </c>
      <c r="C9">
        <f t="shared" si="0"/>
        <v>78408.888888888891</v>
      </c>
      <c r="E9">
        <f t="shared" si="1"/>
        <v>72.627722201638463</v>
      </c>
    </row>
    <row r="10" spans="1:5" x14ac:dyDescent="0.2">
      <c r="A10" t="s">
        <v>6</v>
      </c>
      <c r="B10">
        <v>19014</v>
      </c>
      <c r="C10">
        <f t="shared" si="0"/>
        <v>84506.666666666672</v>
      </c>
      <c r="E10">
        <f t="shared" si="1"/>
        <v>78.275904656045455</v>
      </c>
    </row>
    <row r="11" spans="1:5" x14ac:dyDescent="0.2">
      <c r="A11" t="s">
        <v>7</v>
      </c>
      <c r="B11">
        <v>4925</v>
      </c>
      <c r="C11">
        <f t="shared" si="0"/>
        <v>21888.888888888891</v>
      </c>
      <c r="E11">
        <f t="shared" si="1"/>
        <v>20.274998970812234</v>
      </c>
    </row>
    <row r="12" spans="1:5" x14ac:dyDescent="0.2">
      <c r="A12" t="s">
        <v>8</v>
      </c>
      <c r="B12">
        <v>6439</v>
      </c>
      <c r="C12">
        <f t="shared" si="0"/>
        <v>28617.777777777777</v>
      </c>
      <c r="E12">
        <f t="shared" si="1"/>
        <v>26.507760075748223</v>
      </c>
    </row>
    <row r="13" spans="1:5" x14ac:dyDescent="0.2">
      <c r="A13" t="s">
        <v>9</v>
      </c>
      <c r="B13">
        <v>6554</v>
      </c>
      <c r="C13">
        <f t="shared" si="0"/>
        <v>29128.888888888891</v>
      </c>
      <c r="E13">
        <f t="shared" si="1"/>
        <v>26.981186447655514</v>
      </c>
    </row>
    <row r="14" spans="1:5" x14ac:dyDescent="0.2">
      <c r="A14" t="s">
        <v>10</v>
      </c>
      <c r="B14">
        <v>85</v>
      </c>
      <c r="C14">
        <f t="shared" si="0"/>
        <v>377.77777777777777</v>
      </c>
      <c r="E14">
        <f t="shared" si="1"/>
        <v>0.34992384010538879</v>
      </c>
    </row>
    <row r="15" spans="1:5" x14ac:dyDescent="0.2">
      <c r="A15" t="s">
        <v>11</v>
      </c>
      <c r="B15">
        <v>109</v>
      </c>
      <c r="C15">
        <f t="shared" si="0"/>
        <v>484.44444444444446</v>
      </c>
      <c r="E15">
        <f t="shared" si="1"/>
        <v>0.44872586554691035</v>
      </c>
    </row>
    <row r="16" spans="1:5" x14ac:dyDescent="0.2">
      <c r="A16" t="s">
        <v>12</v>
      </c>
      <c r="B16">
        <v>90</v>
      </c>
      <c r="C16">
        <f t="shared" si="0"/>
        <v>400</v>
      </c>
      <c r="E16">
        <f t="shared" si="1"/>
        <v>0.37050759540570583</v>
      </c>
    </row>
    <row r="17" spans="1:5" x14ac:dyDescent="0.2">
      <c r="A17" t="s">
        <v>13</v>
      </c>
      <c r="B17">
        <v>11</v>
      </c>
      <c r="C17">
        <f t="shared" si="0"/>
        <v>48.888888888888893</v>
      </c>
      <c r="E17">
        <f t="shared" si="1"/>
        <v>4.5284261660697385E-2</v>
      </c>
    </row>
    <row r="18" spans="1:5" x14ac:dyDescent="0.2">
      <c r="A18" t="s">
        <v>14</v>
      </c>
      <c r="B18">
        <v>7</v>
      </c>
      <c r="C18">
        <f t="shared" si="0"/>
        <v>31.111111111111114</v>
      </c>
      <c r="E18">
        <f t="shared" si="1"/>
        <v>2.881725742044379E-2</v>
      </c>
    </row>
    <row r="19" spans="1:5" x14ac:dyDescent="0.2">
      <c r="A19" t="s">
        <v>15</v>
      </c>
      <c r="B19">
        <v>5</v>
      </c>
      <c r="C19">
        <f t="shared" si="0"/>
        <v>22.222222222222221</v>
      </c>
      <c r="E19">
        <f t="shared" si="1"/>
        <v>2.0583755300316989E-2</v>
      </c>
    </row>
    <row r="20" spans="1:5" x14ac:dyDescent="0.2">
      <c r="A20" t="s">
        <v>16</v>
      </c>
      <c r="B20">
        <v>2</v>
      </c>
      <c r="C20">
        <f t="shared" si="0"/>
        <v>8.8888888888888893</v>
      </c>
      <c r="E20">
        <f t="shared" si="1"/>
        <v>8.2335021201267958E-3</v>
      </c>
    </row>
    <row r="21" spans="1:5" x14ac:dyDescent="0.2">
      <c r="A21" t="s">
        <v>17</v>
      </c>
      <c r="B21">
        <v>3</v>
      </c>
      <c r="C21">
        <f t="shared" si="0"/>
        <v>13.333333333333334</v>
      </c>
      <c r="E21">
        <f t="shared" si="1"/>
        <v>1.2350253180190195E-2</v>
      </c>
    </row>
    <row r="22" spans="1:5" x14ac:dyDescent="0.2">
      <c r="A22" t="s">
        <v>18</v>
      </c>
      <c r="B22">
        <v>2</v>
      </c>
      <c r="C22">
        <f t="shared" si="0"/>
        <v>8.8888888888888893</v>
      </c>
      <c r="E22">
        <f t="shared" si="1"/>
        <v>8.2335021201267958E-3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D025-2DC6-5F43-B728-4BBC6182ADBC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15.8320312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20</v>
      </c>
      <c r="C1" t="s">
        <v>24</v>
      </c>
      <c r="D1" t="s">
        <v>25</v>
      </c>
      <c r="E1" t="s">
        <v>26</v>
      </c>
    </row>
    <row r="2" spans="1:5" x14ac:dyDescent="0.2">
      <c r="A2" t="s">
        <v>27</v>
      </c>
      <c r="B2">
        <v>55303</v>
      </c>
      <c r="C2">
        <f>((B2*200/50)*(100/90))</f>
        <v>245791.11111111112</v>
      </c>
      <c r="D2">
        <f>AVERAGE(C2:C4)</f>
        <v>243896.29629629629</v>
      </c>
      <c r="E2">
        <f>(C2/$D$2)*100</f>
        <v>100.77689364028429</v>
      </c>
    </row>
    <row r="3" spans="1:5" x14ac:dyDescent="0.2">
      <c r="A3" t="s">
        <v>28</v>
      </c>
      <c r="B3">
        <v>54297</v>
      </c>
      <c r="C3">
        <f t="shared" ref="C3:C22" si="0">((B3*200/50)*(100/90))</f>
        <v>241320</v>
      </c>
      <c r="E3">
        <f t="shared" ref="E3:E22" si="1">(C3/$D$2)*100</f>
        <v>98.943691915203786</v>
      </c>
    </row>
    <row r="4" spans="1:5" x14ac:dyDescent="0.2">
      <c r="A4" t="s">
        <v>29</v>
      </c>
      <c r="B4">
        <v>55030</v>
      </c>
      <c r="C4">
        <f t="shared" si="0"/>
        <v>244577.77777777778</v>
      </c>
      <c r="E4">
        <f t="shared" si="1"/>
        <v>100.27941444451194</v>
      </c>
    </row>
    <row r="5" spans="1:5" x14ac:dyDescent="0.2">
      <c r="A5" t="s">
        <v>1</v>
      </c>
      <c r="B5">
        <v>41872</v>
      </c>
      <c r="C5">
        <f t="shared" si="0"/>
        <v>186097.77777777778</v>
      </c>
      <c r="E5">
        <f t="shared" si="1"/>
        <v>76.302010569155073</v>
      </c>
    </row>
    <row r="6" spans="1:5" x14ac:dyDescent="0.2">
      <c r="A6" t="s">
        <v>2</v>
      </c>
      <c r="B6">
        <v>49532</v>
      </c>
      <c r="C6">
        <f t="shared" si="0"/>
        <v>220142.22222222222</v>
      </c>
      <c r="E6">
        <f t="shared" si="1"/>
        <v>90.260584340642652</v>
      </c>
    </row>
    <row r="7" spans="1:5" x14ac:dyDescent="0.2">
      <c r="A7" t="s">
        <v>3</v>
      </c>
      <c r="B7">
        <v>47629</v>
      </c>
      <c r="C7">
        <f t="shared" si="0"/>
        <v>211684.44444444447</v>
      </c>
      <c r="E7">
        <f t="shared" si="1"/>
        <v>86.792808115167347</v>
      </c>
    </row>
    <row r="8" spans="1:5" x14ac:dyDescent="0.2">
      <c r="A8" t="s">
        <v>4</v>
      </c>
      <c r="B8">
        <v>32152</v>
      </c>
      <c r="C8">
        <f t="shared" si="0"/>
        <v>142897.77777777778</v>
      </c>
      <c r="E8">
        <f t="shared" si="1"/>
        <v>58.589564477920185</v>
      </c>
    </row>
    <row r="9" spans="1:5" x14ac:dyDescent="0.2">
      <c r="A9" t="s">
        <v>5</v>
      </c>
      <c r="B9">
        <v>49507</v>
      </c>
      <c r="C9">
        <f t="shared" si="0"/>
        <v>220031.11111111112</v>
      </c>
      <c r="E9">
        <f t="shared" si="1"/>
        <v>90.215027637733101</v>
      </c>
    </row>
    <row r="10" spans="1:5" x14ac:dyDescent="0.2">
      <c r="A10" t="s">
        <v>6</v>
      </c>
      <c r="B10">
        <v>50536</v>
      </c>
      <c r="C10">
        <f t="shared" si="0"/>
        <v>224604.44444444447</v>
      </c>
      <c r="E10">
        <f t="shared" si="1"/>
        <v>92.090141529490381</v>
      </c>
    </row>
    <row r="11" spans="1:5" x14ac:dyDescent="0.2">
      <c r="A11" t="s">
        <v>7</v>
      </c>
      <c r="B11">
        <v>22108</v>
      </c>
      <c r="C11">
        <f t="shared" si="0"/>
        <v>98257.777777777781</v>
      </c>
      <c r="E11">
        <f t="shared" si="1"/>
        <v>40.286703516977468</v>
      </c>
    </row>
    <row r="12" spans="1:5" x14ac:dyDescent="0.2">
      <c r="A12" t="s">
        <v>8</v>
      </c>
      <c r="B12">
        <v>26482</v>
      </c>
      <c r="C12">
        <f t="shared" si="0"/>
        <v>117697.77777777778</v>
      </c>
      <c r="E12">
        <f t="shared" si="1"/>
        <v>48.257304258033166</v>
      </c>
    </row>
    <row r="13" spans="1:5" x14ac:dyDescent="0.2">
      <c r="A13" t="s">
        <v>9</v>
      </c>
      <c r="B13">
        <v>26901</v>
      </c>
      <c r="C13">
        <f t="shared" si="0"/>
        <v>119560</v>
      </c>
      <c r="E13">
        <f t="shared" si="1"/>
        <v>49.0208345987973</v>
      </c>
    </row>
    <row r="14" spans="1:5" x14ac:dyDescent="0.2">
      <c r="A14" t="s">
        <v>10</v>
      </c>
      <c r="B14">
        <v>617</v>
      </c>
      <c r="C14">
        <f t="shared" si="0"/>
        <v>2742.2222222222222</v>
      </c>
      <c r="E14">
        <f t="shared" si="1"/>
        <v>1.1243394278078114</v>
      </c>
    </row>
    <row r="15" spans="1:5" x14ac:dyDescent="0.2">
      <c r="A15" t="s">
        <v>11</v>
      </c>
      <c r="B15">
        <v>774</v>
      </c>
      <c r="C15">
        <f t="shared" si="0"/>
        <v>3440</v>
      </c>
      <c r="E15">
        <f t="shared" si="1"/>
        <v>1.4104355220798153</v>
      </c>
    </row>
    <row r="16" spans="1:5" x14ac:dyDescent="0.2">
      <c r="A16" t="s">
        <v>12</v>
      </c>
      <c r="B16">
        <v>597</v>
      </c>
      <c r="C16">
        <f t="shared" si="0"/>
        <v>2653.3333333333335</v>
      </c>
      <c r="E16">
        <f t="shared" si="1"/>
        <v>1.0878940654801676</v>
      </c>
    </row>
    <row r="17" spans="1:5" x14ac:dyDescent="0.2">
      <c r="A17" t="s">
        <v>13</v>
      </c>
      <c r="B17">
        <v>5</v>
      </c>
      <c r="C17">
        <f t="shared" si="0"/>
        <v>22.222222222222221</v>
      </c>
      <c r="E17">
        <f t="shared" si="1"/>
        <v>9.1113405819109507E-3</v>
      </c>
    </row>
    <row r="18" spans="1:5" x14ac:dyDescent="0.2">
      <c r="A18" t="s">
        <v>14</v>
      </c>
      <c r="B18">
        <v>8</v>
      </c>
      <c r="C18">
        <f t="shared" si="0"/>
        <v>35.555555555555557</v>
      </c>
      <c r="E18">
        <f t="shared" si="1"/>
        <v>1.4578144931057522E-2</v>
      </c>
    </row>
    <row r="19" spans="1:5" x14ac:dyDescent="0.2">
      <c r="A19" t="s">
        <v>15</v>
      </c>
      <c r="B19">
        <v>12</v>
      </c>
      <c r="C19">
        <f t="shared" si="0"/>
        <v>53.333333333333336</v>
      </c>
      <c r="E19">
        <f t="shared" si="1"/>
        <v>2.1867217396586286E-2</v>
      </c>
    </row>
    <row r="20" spans="1:5" x14ac:dyDescent="0.2">
      <c r="A20" t="s">
        <v>16</v>
      </c>
      <c r="B20">
        <v>7</v>
      </c>
      <c r="C20">
        <f t="shared" si="0"/>
        <v>31.111111111111114</v>
      </c>
      <c r="E20">
        <f t="shared" si="1"/>
        <v>1.2755876814675335E-2</v>
      </c>
    </row>
    <row r="21" spans="1:5" x14ac:dyDescent="0.2">
      <c r="A21" t="s">
        <v>17</v>
      </c>
      <c r="B21">
        <v>2</v>
      </c>
      <c r="C21">
        <f t="shared" si="0"/>
        <v>8.8888888888888893</v>
      </c>
      <c r="E21">
        <f t="shared" si="1"/>
        <v>3.6445362327643806E-3</v>
      </c>
    </row>
    <row r="22" spans="1:5" x14ac:dyDescent="0.2">
      <c r="A22" t="s">
        <v>18</v>
      </c>
      <c r="B22">
        <v>4</v>
      </c>
      <c r="C22">
        <f t="shared" si="0"/>
        <v>17.777777777777779</v>
      </c>
      <c r="E22">
        <f t="shared" si="1"/>
        <v>7.2890724655287611E-3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BDA0-F2D4-B64B-B9EC-428EF885995E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16.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22</v>
      </c>
      <c r="C1" t="s">
        <v>24</v>
      </c>
      <c r="D1" t="s">
        <v>25</v>
      </c>
      <c r="E1" t="s">
        <v>26</v>
      </c>
    </row>
    <row r="2" spans="1:5" x14ac:dyDescent="0.2">
      <c r="A2" t="s">
        <v>27</v>
      </c>
      <c r="B2">
        <v>9555</v>
      </c>
      <c r="C2">
        <f>((B2*200/50)*(100/90))</f>
        <v>42466.666666666672</v>
      </c>
      <c r="D2">
        <f>AVERAGE(C2:C4)</f>
        <v>41065.18518518519</v>
      </c>
      <c r="E2">
        <f>(C2/$D$2)*100</f>
        <v>103.41282153035824</v>
      </c>
    </row>
    <row r="3" spans="1:5" x14ac:dyDescent="0.2">
      <c r="A3" t="s">
        <v>28</v>
      </c>
      <c r="B3">
        <v>8671</v>
      </c>
      <c r="C3">
        <f t="shared" ref="C3:C22" si="0">((B3*200/50)*(100/90))</f>
        <v>38537.777777777781</v>
      </c>
      <c r="E3">
        <f t="shared" ref="E3:E22" si="1">(C3/$D$2)*100</f>
        <v>93.84537681734551</v>
      </c>
    </row>
    <row r="4" spans="1:5" x14ac:dyDescent="0.2">
      <c r="A4" t="s">
        <v>29</v>
      </c>
      <c r="B4">
        <v>9493</v>
      </c>
      <c r="C4">
        <f t="shared" si="0"/>
        <v>42191.111111111109</v>
      </c>
      <c r="E4">
        <f t="shared" si="1"/>
        <v>102.74180165229625</v>
      </c>
    </row>
    <row r="5" spans="1:5" x14ac:dyDescent="0.2">
      <c r="A5" t="s">
        <v>1</v>
      </c>
      <c r="B5">
        <v>6619</v>
      </c>
      <c r="C5">
        <f t="shared" si="0"/>
        <v>29417.777777777777</v>
      </c>
      <c r="E5">
        <f t="shared" si="1"/>
        <v>71.636783433745805</v>
      </c>
    </row>
    <row r="6" spans="1:5" x14ac:dyDescent="0.2">
      <c r="A6" t="s">
        <v>2</v>
      </c>
      <c r="B6">
        <v>8398</v>
      </c>
      <c r="C6">
        <f t="shared" si="0"/>
        <v>37324.444444444445</v>
      </c>
      <c r="E6">
        <f t="shared" si="1"/>
        <v>90.890724773620974</v>
      </c>
    </row>
    <row r="7" spans="1:5" x14ac:dyDescent="0.2">
      <c r="A7" t="s">
        <v>3</v>
      </c>
      <c r="B7">
        <v>8185</v>
      </c>
      <c r="C7">
        <f t="shared" si="0"/>
        <v>36377.777777777781</v>
      </c>
      <c r="E7">
        <f t="shared" si="1"/>
        <v>88.585446805440299</v>
      </c>
    </row>
    <row r="8" spans="1:5" x14ac:dyDescent="0.2">
      <c r="A8" t="s">
        <v>4</v>
      </c>
      <c r="B8">
        <v>5957</v>
      </c>
      <c r="C8">
        <f t="shared" si="0"/>
        <v>26475.555555555558</v>
      </c>
      <c r="E8">
        <f t="shared" si="1"/>
        <v>64.472022800245327</v>
      </c>
    </row>
    <row r="9" spans="1:5" x14ac:dyDescent="0.2">
      <c r="A9" t="s">
        <v>5</v>
      </c>
      <c r="B9">
        <v>9445</v>
      </c>
      <c r="C9">
        <f t="shared" si="0"/>
        <v>41977.777777777781</v>
      </c>
      <c r="E9">
        <f t="shared" si="1"/>
        <v>102.22230239186116</v>
      </c>
    </row>
    <row r="10" spans="1:5" x14ac:dyDescent="0.2">
      <c r="A10" t="s">
        <v>6</v>
      </c>
      <c r="B10">
        <v>10612</v>
      </c>
      <c r="C10">
        <f t="shared" si="0"/>
        <v>47164.444444444445</v>
      </c>
      <c r="E10">
        <f t="shared" si="1"/>
        <v>114.85262816118906</v>
      </c>
    </row>
    <row r="11" spans="1:5" x14ac:dyDescent="0.2">
      <c r="A11" t="s">
        <v>7</v>
      </c>
      <c r="B11">
        <v>7622</v>
      </c>
      <c r="C11">
        <f t="shared" si="0"/>
        <v>33875.555555555555</v>
      </c>
      <c r="E11">
        <f t="shared" si="1"/>
        <v>82.49215339658717</v>
      </c>
    </row>
    <row r="12" spans="1:5" x14ac:dyDescent="0.2">
      <c r="A12" t="s">
        <v>8</v>
      </c>
      <c r="B12">
        <v>8731</v>
      </c>
      <c r="C12">
        <f t="shared" si="0"/>
        <v>38804.444444444445</v>
      </c>
      <c r="E12">
        <f t="shared" si="1"/>
        <v>94.494750892889343</v>
      </c>
    </row>
    <row r="13" spans="1:5" x14ac:dyDescent="0.2">
      <c r="A13" t="s">
        <v>9</v>
      </c>
      <c r="B13">
        <v>9546</v>
      </c>
      <c r="C13">
        <f t="shared" si="0"/>
        <v>42426.666666666672</v>
      </c>
      <c r="E13">
        <f t="shared" si="1"/>
        <v>103.31541541902666</v>
      </c>
    </row>
    <row r="14" spans="1:5" x14ac:dyDescent="0.2">
      <c r="A14" t="s">
        <v>10</v>
      </c>
      <c r="B14">
        <v>459</v>
      </c>
      <c r="C14">
        <f t="shared" si="0"/>
        <v>2040</v>
      </c>
      <c r="E14">
        <f t="shared" si="1"/>
        <v>4.967711677910458</v>
      </c>
    </row>
    <row r="15" spans="1:5" x14ac:dyDescent="0.2">
      <c r="A15" t="s">
        <v>11</v>
      </c>
      <c r="B15">
        <v>595</v>
      </c>
      <c r="C15">
        <f t="shared" si="0"/>
        <v>2644.4444444444443</v>
      </c>
      <c r="E15">
        <f t="shared" si="1"/>
        <v>6.4396262491431866</v>
      </c>
    </row>
    <row r="16" spans="1:5" x14ac:dyDescent="0.2">
      <c r="A16" t="s">
        <v>12</v>
      </c>
      <c r="B16">
        <v>497</v>
      </c>
      <c r="C16">
        <f t="shared" si="0"/>
        <v>2208.8888888888891</v>
      </c>
      <c r="E16">
        <f t="shared" si="1"/>
        <v>5.3789819257548972</v>
      </c>
    </row>
    <row r="17" spans="1:5" x14ac:dyDescent="0.2">
      <c r="A17" t="s">
        <v>13</v>
      </c>
      <c r="B17">
        <v>4</v>
      </c>
      <c r="C17">
        <f t="shared" si="0"/>
        <v>17.777777777777779</v>
      </c>
      <c r="E17">
        <f t="shared" si="1"/>
        <v>4.3291605036256717E-2</v>
      </c>
    </row>
    <row r="18" spans="1:5" x14ac:dyDescent="0.2">
      <c r="A18" t="s">
        <v>14</v>
      </c>
      <c r="B18">
        <v>5</v>
      </c>
      <c r="C18">
        <f t="shared" si="0"/>
        <v>22.222222222222221</v>
      </c>
      <c r="E18">
        <f t="shared" si="1"/>
        <v>5.4114506295320886E-2</v>
      </c>
    </row>
    <row r="19" spans="1:5" x14ac:dyDescent="0.2">
      <c r="A19" t="s">
        <v>15</v>
      </c>
      <c r="B19">
        <v>8</v>
      </c>
      <c r="C19">
        <f t="shared" si="0"/>
        <v>35.555555555555557</v>
      </c>
      <c r="E19">
        <f t="shared" si="1"/>
        <v>8.6583210072513433E-2</v>
      </c>
    </row>
    <row r="20" spans="1:5" x14ac:dyDescent="0.2">
      <c r="A20" t="s">
        <v>16</v>
      </c>
      <c r="B20">
        <v>6</v>
      </c>
      <c r="C20">
        <f t="shared" si="0"/>
        <v>26.666666666666668</v>
      </c>
      <c r="E20">
        <f t="shared" si="1"/>
        <v>6.4937407554385082E-2</v>
      </c>
    </row>
    <row r="21" spans="1:5" x14ac:dyDescent="0.2">
      <c r="A21" t="s">
        <v>17</v>
      </c>
      <c r="B21">
        <v>2</v>
      </c>
      <c r="C21">
        <f t="shared" si="0"/>
        <v>8.8888888888888893</v>
      </c>
      <c r="E21">
        <f t="shared" si="1"/>
        <v>2.1645802518128358E-2</v>
      </c>
    </row>
    <row r="22" spans="1:5" x14ac:dyDescent="0.2">
      <c r="A22" t="s">
        <v>18</v>
      </c>
      <c r="B22">
        <v>4</v>
      </c>
      <c r="C22">
        <f t="shared" si="0"/>
        <v>17.777777777777779</v>
      </c>
      <c r="E22">
        <f t="shared" si="1"/>
        <v>4.3291605036256717E-2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7879-1A6B-7F4C-8FB3-5D7F7F90AE7D}">
  <dimension ref="A1:E22"/>
  <sheetViews>
    <sheetView tabSelected="1"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">
      <c r="A2" t="s">
        <v>27</v>
      </c>
      <c r="B2">
        <v>44737</v>
      </c>
      <c r="C2">
        <f>((B2*200/50)*(100/90))</f>
        <v>198831.11111111112</v>
      </c>
      <c r="D2">
        <f>AVERAGE(C2:C4)</f>
        <v>198118.51851851854</v>
      </c>
      <c r="E2">
        <f>(C2/$D$2)*100</f>
        <v>100.35967995214237</v>
      </c>
    </row>
    <row r="3" spans="1:5" x14ac:dyDescent="0.2">
      <c r="A3" t="s">
        <v>28</v>
      </c>
      <c r="B3">
        <v>44529</v>
      </c>
      <c r="C3">
        <f t="shared" ref="C3:C22" si="0">((B3*200/50)*(100/90))</f>
        <v>197906.66666666669</v>
      </c>
      <c r="E3">
        <f t="shared" ref="E3:E22" si="1">(C3/$D$2)*100</f>
        <v>99.893068122336047</v>
      </c>
    </row>
    <row r="4" spans="1:5" x14ac:dyDescent="0.2">
      <c r="A4" t="s">
        <v>29</v>
      </c>
      <c r="B4">
        <v>44464</v>
      </c>
      <c r="C4">
        <f t="shared" si="0"/>
        <v>197617.77777777778</v>
      </c>
      <c r="E4">
        <f t="shared" si="1"/>
        <v>99.747251925521567</v>
      </c>
    </row>
    <row r="5" spans="1:5" x14ac:dyDescent="0.2">
      <c r="A5" t="s">
        <v>1</v>
      </c>
      <c r="B5">
        <v>34481</v>
      </c>
      <c r="C5">
        <f t="shared" si="0"/>
        <v>153248.88888888891</v>
      </c>
      <c r="E5">
        <f t="shared" si="1"/>
        <v>77.352127420922756</v>
      </c>
    </row>
    <row r="6" spans="1:5" x14ac:dyDescent="0.2">
      <c r="A6" t="s">
        <v>2</v>
      </c>
      <c r="B6">
        <v>40089</v>
      </c>
      <c r="C6">
        <f t="shared" si="0"/>
        <v>178173.33333333334</v>
      </c>
      <c r="E6">
        <f t="shared" si="1"/>
        <v>89.932700216854855</v>
      </c>
    </row>
    <row r="7" spans="1:5" x14ac:dyDescent="0.2">
      <c r="A7" t="s">
        <v>3</v>
      </c>
      <c r="B7">
        <v>38433</v>
      </c>
      <c r="C7">
        <f t="shared" si="0"/>
        <v>170813.33333333334</v>
      </c>
      <c r="E7">
        <f t="shared" si="1"/>
        <v>86.217752187242951</v>
      </c>
    </row>
    <row r="8" spans="1:5" x14ac:dyDescent="0.2">
      <c r="A8" t="s">
        <v>4</v>
      </c>
      <c r="B8">
        <v>25574</v>
      </c>
      <c r="C8">
        <f t="shared" si="0"/>
        <v>113662.22222222223</v>
      </c>
      <c r="E8">
        <f t="shared" si="1"/>
        <v>57.370821805129737</v>
      </c>
    </row>
    <row r="9" spans="1:5" x14ac:dyDescent="0.2">
      <c r="A9" t="s">
        <v>5</v>
      </c>
      <c r="B9">
        <v>39068</v>
      </c>
      <c r="C9">
        <f t="shared" si="0"/>
        <v>173635.55555555556</v>
      </c>
      <c r="E9">
        <f t="shared" si="1"/>
        <v>87.642264263815136</v>
      </c>
    </row>
    <row r="10" spans="1:5" x14ac:dyDescent="0.2">
      <c r="A10" t="s">
        <v>6</v>
      </c>
      <c r="B10">
        <v>38897</v>
      </c>
      <c r="C10">
        <f t="shared" si="0"/>
        <v>172875.55555555556</v>
      </c>
      <c r="E10">
        <f t="shared" si="1"/>
        <v>87.258655499887823</v>
      </c>
    </row>
    <row r="11" spans="1:5" x14ac:dyDescent="0.2">
      <c r="A11" t="s">
        <v>7</v>
      </c>
      <c r="B11">
        <v>13775</v>
      </c>
      <c r="C11">
        <f t="shared" si="0"/>
        <v>61222.222222222226</v>
      </c>
      <c r="E11">
        <f t="shared" si="1"/>
        <v>30.901817094144917</v>
      </c>
    </row>
    <row r="12" spans="1:5" x14ac:dyDescent="0.2">
      <c r="A12" t="s">
        <v>8</v>
      </c>
      <c r="B12">
        <v>16949</v>
      </c>
      <c r="C12">
        <f t="shared" si="0"/>
        <v>75328.888888888891</v>
      </c>
      <c r="E12">
        <f t="shared" si="1"/>
        <v>38.022134150901067</v>
      </c>
    </row>
    <row r="13" spans="1:5" x14ac:dyDescent="0.2">
      <c r="A13" t="s">
        <v>9</v>
      </c>
      <c r="B13">
        <v>16455</v>
      </c>
      <c r="C13">
        <f t="shared" si="0"/>
        <v>73133.333333333343</v>
      </c>
      <c r="E13">
        <f t="shared" si="1"/>
        <v>36.913931055111043</v>
      </c>
    </row>
    <row r="14" spans="1:5" x14ac:dyDescent="0.2">
      <c r="A14" t="s">
        <v>10</v>
      </c>
      <c r="B14">
        <v>142</v>
      </c>
      <c r="C14">
        <f t="shared" si="0"/>
        <v>631.11111111111109</v>
      </c>
      <c r="E14">
        <f t="shared" si="1"/>
        <v>0.31855230688701108</v>
      </c>
    </row>
    <row r="15" spans="1:5" x14ac:dyDescent="0.2">
      <c r="A15" t="s">
        <v>11</v>
      </c>
      <c r="B15">
        <v>149</v>
      </c>
      <c r="C15">
        <f t="shared" si="0"/>
        <v>662.22222222222229</v>
      </c>
      <c r="E15">
        <f t="shared" si="1"/>
        <v>0.33425558962087787</v>
      </c>
    </row>
    <row r="16" spans="1:5" x14ac:dyDescent="0.2">
      <c r="A16" t="s">
        <v>12</v>
      </c>
      <c r="B16">
        <v>82</v>
      </c>
      <c r="C16">
        <f t="shared" si="0"/>
        <v>364.44444444444446</v>
      </c>
      <c r="E16">
        <f t="shared" si="1"/>
        <v>0.18395274059672473</v>
      </c>
    </row>
    <row r="17" spans="1:5" x14ac:dyDescent="0.2">
      <c r="A17" t="s">
        <v>13</v>
      </c>
      <c r="B17">
        <v>1</v>
      </c>
      <c r="C17">
        <f t="shared" si="0"/>
        <v>4.4444444444444446</v>
      </c>
      <c r="E17">
        <f t="shared" si="1"/>
        <v>2.2433261048381064E-3</v>
      </c>
    </row>
    <row r="18" spans="1:5" x14ac:dyDescent="0.2">
      <c r="A18" t="s">
        <v>14</v>
      </c>
      <c r="B18">
        <v>3</v>
      </c>
      <c r="C18">
        <f t="shared" si="0"/>
        <v>13.333333333333334</v>
      </c>
      <c r="E18">
        <f t="shared" si="1"/>
        <v>6.7299783145143201E-3</v>
      </c>
    </row>
    <row r="19" spans="1:5" x14ac:dyDescent="0.2">
      <c r="A19" t="s">
        <v>15</v>
      </c>
      <c r="B19">
        <v>4</v>
      </c>
      <c r="C19">
        <f t="shared" si="0"/>
        <v>17.777777777777779</v>
      </c>
      <c r="E19">
        <f t="shared" si="1"/>
        <v>8.9733044193524257E-3</v>
      </c>
    </row>
    <row r="20" spans="1:5" x14ac:dyDescent="0.2">
      <c r="A20" t="s">
        <v>16</v>
      </c>
      <c r="B20">
        <v>1</v>
      </c>
      <c r="C20">
        <f t="shared" si="0"/>
        <v>4.4444444444444446</v>
      </c>
      <c r="E20">
        <f t="shared" si="1"/>
        <v>2.2433261048381064E-3</v>
      </c>
    </row>
    <row r="21" spans="1:5" x14ac:dyDescent="0.2">
      <c r="A21" t="s">
        <v>17</v>
      </c>
      <c r="B21">
        <v>0</v>
      </c>
      <c r="C21">
        <f t="shared" si="0"/>
        <v>0</v>
      </c>
      <c r="E21">
        <f t="shared" si="1"/>
        <v>0</v>
      </c>
    </row>
    <row r="22" spans="1:5" x14ac:dyDescent="0.2">
      <c r="A22" t="s">
        <v>18</v>
      </c>
      <c r="B22">
        <v>0</v>
      </c>
      <c r="C22">
        <f t="shared" si="0"/>
        <v>0</v>
      </c>
      <c r="E22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Live cells</vt:lpstr>
      <vt:lpstr>CD34-</vt:lpstr>
      <vt:lpstr>CD34+</vt:lpstr>
      <vt:lpstr>CD34+CD38+</vt:lpstr>
      <vt:lpstr>CD34+CD38-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Iasenza</dc:creator>
  <cp:lastModifiedBy>Isabella Iasenza</cp:lastModifiedBy>
  <dcterms:created xsi:type="dcterms:W3CDTF">2024-01-22T15:48:31Z</dcterms:created>
  <dcterms:modified xsi:type="dcterms:W3CDTF">2024-01-30T17:12:49Z</dcterms:modified>
</cp:coreProperties>
</file>