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iasenza/Documents/PhD Winter 2022/II 2024-01-17 CB DR AraC_trial 2/"/>
    </mc:Choice>
  </mc:AlternateContent>
  <xr:revisionPtr revIDLastSave="0" documentId="13_ncr:1_{894D6778-F417-1C4F-8B48-8AC869CC547B}" xr6:coauthVersionLast="47" xr6:coauthVersionMax="47" xr10:uidLastSave="{00000000-0000-0000-0000-000000000000}"/>
  <bookViews>
    <workbookView xWindow="0" yWindow="500" windowWidth="28420" windowHeight="16000" activeTab="5" xr2:uid="{15400350-3218-1245-8FFA-99667100601B}"/>
  </bookViews>
  <sheets>
    <sheet name="Raw data" sheetId="1" r:id="rId1"/>
    <sheet name="Live cells" sheetId="2" r:id="rId2"/>
    <sheet name="CD34-" sheetId="3" r:id="rId3"/>
    <sheet name="CD34+" sheetId="5" r:id="rId4"/>
    <sheet name="CD34+CD38+" sheetId="6" r:id="rId5"/>
    <sheet name="CD34+CD38-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C15" i="5"/>
  <c r="C11" i="5"/>
  <c r="C7" i="5"/>
  <c r="C3" i="5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2" i="5"/>
  <c r="C21" i="5"/>
  <c r="C20" i="5"/>
  <c r="C18" i="5"/>
  <c r="C17" i="5"/>
  <c r="C16" i="5"/>
  <c r="C14" i="5"/>
  <c r="C13" i="5"/>
  <c r="C12" i="5"/>
  <c r="C10" i="5"/>
  <c r="C9" i="5"/>
  <c r="C8" i="5"/>
  <c r="C6" i="5"/>
  <c r="C5" i="5"/>
  <c r="C4" i="5"/>
  <c r="C2" i="5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D2" i="6" s="1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2" i="7" s="1"/>
  <c r="E20" i="7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D2" i="2" l="1"/>
  <c r="E20" i="2" s="1"/>
  <c r="E19" i="7"/>
  <c r="E11" i="7"/>
  <c r="E4" i="7"/>
  <c r="E3" i="7"/>
  <c r="E7" i="7"/>
  <c r="E15" i="7"/>
  <c r="E5" i="7"/>
  <c r="E9" i="7"/>
  <c r="E13" i="7"/>
  <c r="E17" i="7"/>
  <c r="E21" i="7"/>
  <c r="E22" i="6"/>
  <c r="E20" i="6"/>
  <c r="E18" i="6"/>
  <c r="E16" i="6"/>
  <c r="E14" i="6"/>
  <c r="E12" i="6"/>
  <c r="E10" i="6"/>
  <c r="E8" i="6"/>
  <c r="E6" i="6"/>
  <c r="E4" i="6"/>
  <c r="E2" i="6"/>
  <c r="E3" i="6"/>
  <c r="E7" i="6"/>
  <c r="E11" i="6"/>
  <c r="E15" i="6"/>
  <c r="E19" i="6"/>
  <c r="E5" i="6"/>
  <c r="E9" i="6"/>
  <c r="E13" i="6"/>
  <c r="E17" i="6"/>
  <c r="E21" i="6"/>
  <c r="E2" i="7"/>
  <c r="E8" i="7"/>
  <c r="E18" i="7"/>
  <c r="D2" i="5"/>
  <c r="E6" i="7"/>
  <c r="E10" i="7"/>
  <c r="E14" i="7"/>
  <c r="E16" i="7"/>
  <c r="E22" i="7"/>
  <c r="D2" i="3"/>
  <c r="E22" i="3" s="1"/>
  <c r="E12" i="7"/>
  <c r="E15" i="2" l="1"/>
  <c r="E12" i="2"/>
  <c r="E3" i="2"/>
  <c r="E2" i="2"/>
  <c r="E7" i="2"/>
  <c r="E8" i="2"/>
  <c r="E6" i="2"/>
  <c r="E19" i="2"/>
  <c r="E10" i="2"/>
  <c r="E14" i="2"/>
  <c r="E18" i="2"/>
  <c r="E22" i="2"/>
  <c r="E9" i="2"/>
  <c r="E21" i="2"/>
  <c r="E5" i="2"/>
  <c r="E13" i="2"/>
  <c r="E17" i="2"/>
  <c r="E11" i="2"/>
  <c r="E4" i="2"/>
  <c r="E16" i="2"/>
  <c r="E21" i="5"/>
  <c r="E19" i="5"/>
  <c r="E17" i="5"/>
  <c r="E15" i="5"/>
  <c r="E13" i="5"/>
  <c r="E11" i="5"/>
  <c r="E9" i="5"/>
  <c r="E7" i="5"/>
  <c r="E5" i="5"/>
  <c r="E3" i="5"/>
  <c r="E22" i="5"/>
  <c r="E20" i="5"/>
  <c r="E18" i="5"/>
  <c r="E16" i="5"/>
  <c r="E14" i="5"/>
  <c r="E12" i="5"/>
  <c r="E10" i="5"/>
  <c r="E8" i="5"/>
  <c r="E6" i="5"/>
  <c r="E4" i="5"/>
  <c r="E20" i="3"/>
  <c r="E18" i="3"/>
  <c r="E16" i="3"/>
  <c r="E14" i="3"/>
  <c r="E12" i="3"/>
  <c r="E10" i="3"/>
  <c r="E8" i="3"/>
  <c r="E6" i="3"/>
  <c r="E4" i="3"/>
  <c r="E19" i="3"/>
  <c r="E17" i="3"/>
  <c r="E15" i="3"/>
  <c r="E13" i="3"/>
  <c r="E11" i="3"/>
  <c r="E9" i="3"/>
  <c r="E7" i="3"/>
  <c r="E5" i="3"/>
  <c r="E3" i="3"/>
  <c r="E2" i="3"/>
  <c r="E21" i="3"/>
  <c r="E2" i="5"/>
</calcChain>
</file>

<file path=xl/sharedStrings.xml><?xml version="1.0" encoding="utf-8"?>
<sst xmlns="http://schemas.openxmlformats.org/spreadsheetml/2006/main" count="157" uniqueCount="30">
  <si>
    <t>Sample:</t>
  </si>
  <si>
    <t>1 nM AraC_B3_B03_004.fcs</t>
  </si>
  <si>
    <t>1 nM AraC_C3_C03_005.fcs</t>
  </si>
  <si>
    <t>1 nM AraC_D3_D03_006.fcs</t>
  </si>
  <si>
    <t>5 nM AraC_B4_B04_007.fcs</t>
  </si>
  <si>
    <t>5 nM AraC_C4_C04_008.fcs</t>
  </si>
  <si>
    <t>5 nM AraC_D4_D04_009.fcs</t>
  </si>
  <si>
    <t>25 nM AraC_B5_B05_010.fcs</t>
  </si>
  <si>
    <t>25 nM AraC_C5_C05_011.fcs</t>
  </si>
  <si>
    <t>25 nM AraC_D5_D05_012.fcs</t>
  </si>
  <si>
    <t>125 nM AraC_B6_B06_013.fcs</t>
  </si>
  <si>
    <t>125 nM AraC_C6_C06_014.fcs</t>
  </si>
  <si>
    <t>125 nM AraC_D6_D06_015.fcs</t>
  </si>
  <si>
    <t>625 nM AraC_B7_B07_016.fcs</t>
  </si>
  <si>
    <t>625 nM AraC_C7_C07_017.fcs</t>
  </si>
  <si>
    <t>625 nM AraC_D7_D07_018.fcs</t>
  </si>
  <si>
    <t>1000 nM AraC_B8_B08_019.fcs</t>
  </si>
  <si>
    <t>1000 nM AraC_C8_C08_020.fcs</t>
  </si>
  <si>
    <t>1000 nM AraC_D8_D08_021.fcs</t>
  </si>
  <si>
    <t>LIVE CELLS</t>
  </si>
  <si>
    <t>CD34+</t>
  </si>
  <si>
    <t>CD34-</t>
  </si>
  <si>
    <t>CD34+CD38+</t>
  </si>
  <si>
    <t>CD34+CD38-</t>
  </si>
  <si>
    <t>adjusted cell count</t>
  </si>
  <si>
    <t>DMSO control average</t>
  </si>
  <si>
    <t>% cells normalized to DMSO</t>
  </si>
  <si>
    <t>DMSO_CB_B2_B02_001.fcs</t>
  </si>
  <si>
    <t>DMSO_CB_C2_C02_002.fcs</t>
  </si>
  <si>
    <t>DMSO_CB_D2_D02_003.fcs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</si>
</sst>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B858-542E-D945-AF50-84E1B5BBC737}">
  <dimension ref="A1:F22"/>
  <sheetViews>
    <sheetView workbookViewId="0">
      <selection activeCell="F1" sqref="F1:F1048576"/>
    </sheetView>
  </sheetViews>
  <sheetFormatPr baseColWidth="10" defaultRowHeight="16" x14ac:dyDescent="0.2"/>
  <cols>
    <col min="1" max="1" width="16" customWidth="1"/>
    <col min="3" max="3" width="15.83203125" customWidth="1"/>
    <col min="4" max="4" width="22.6640625" customWidth="1"/>
    <col min="5" max="5" width="16.5" customWidth="1"/>
  </cols>
  <sheetData>
    <row r="1" spans="1:6" x14ac:dyDescent="0.2">
      <c r="A1" t="s">
        <v>0</v>
      </c>
      <c r="B1" t="s">
        <v>19</v>
      </c>
      <c r="C1" t="s">
        <v>20</v>
      </c>
      <c r="D1" t="s">
        <v>22</v>
      </c>
      <c r="E1" t="s">
        <v>21</v>
      </c>
      <c r="F1" t="s">
        <v>23</v>
      </c>
    </row>
    <row r="2" spans="1:6" x14ac:dyDescent="0.2">
      <c r="A2" t="s">
        <v>27</v>
      </c>
      <c r="B2">
        <v>112169</v>
      </c>
      <c r="C2">
        <v>76770</v>
      </c>
      <c r="D2">
        <v>15488</v>
      </c>
      <c r="E2">
        <v>34430</v>
      </c>
      <c r="F2">
        <v>59736</v>
      </c>
    </row>
    <row r="3" spans="1:6" x14ac:dyDescent="0.2">
      <c r="A3" t="s">
        <v>28</v>
      </c>
      <c r="B3">
        <v>105727</v>
      </c>
      <c r="C3">
        <v>72733</v>
      </c>
      <c r="D3">
        <v>13891</v>
      </c>
      <c r="E3">
        <v>32160</v>
      </c>
      <c r="F3">
        <v>57329</v>
      </c>
    </row>
    <row r="4" spans="1:6" x14ac:dyDescent="0.2">
      <c r="A4" t="s">
        <v>29</v>
      </c>
      <c r="B4">
        <v>107063</v>
      </c>
      <c r="C4">
        <v>72660</v>
      </c>
      <c r="D4">
        <v>15413</v>
      </c>
      <c r="E4">
        <v>33569</v>
      </c>
      <c r="F4">
        <v>55592</v>
      </c>
    </row>
    <row r="5" spans="1:6" x14ac:dyDescent="0.2">
      <c r="A5" t="s">
        <v>1</v>
      </c>
      <c r="B5">
        <v>108564</v>
      </c>
      <c r="C5">
        <v>73798</v>
      </c>
      <c r="D5">
        <v>14491</v>
      </c>
      <c r="E5">
        <v>33911</v>
      </c>
      <c r="F5">
        <v>57799</v>
      </c>
    </row>
    <row r="6" spans="1:6" x14ac:dyDescent="0.2">
      <c r="A6" t="s">
        <v>2</v>
      </c>
      <c r="B6">
        <v>100347</v>
      </c>
      <c r="C6">
        <v>69168</v>
      </c>
      <c r="D6">
        <v>12943</v>
      </c>
      <c r="E6">
        <v>30344</v>
      </c>
      <c r="F6">
        <v>54679</v>
      </c>
    </row>
    <row r="7" spans="1:6" x14ac:dyDescent="0.2">
      <c r="A7" t="s">
        <v>3</v>
      </c>
      <c r="B7">
        <v>107284</v>
      </c>
      <c r="C7">
        <v>73140</v>
      </c>
      <c r="D7">
        <v>14206</v>
      </c>
      <c r="E7">
        <v>33284</v>
      </c>
      <c r="F7">
        <v>57360</v>
      </c>
    </row>
    <row r="8" spans="1:6" x14ac:dyDescent="0.2">
      <c r="A8" t="s">
        <v>4</v>
      </c>
      <c r="B8">
        <v>103576</v>
      </c>
      <c r="C8">
        <v>73249</v>
      </c>
      <c r="D8">
        <v>17114</v>
      </c>
      <c r="E8">
        <v>29543</v>
      </c>
      <c r="F8">
        <v>54416</v>
      </c>
    </row>
    <row r="9" spans="1:6" x14ac:dyDescent="0.2">
      <c r="A9" t="s">
        <v>5</v>
      </c>
      <c r="B9">
        <v>96459</v>
      </c>
      <c r="C9">
        <v>67823</v>
      </c>
      <c r="D9">
        <v>14350</v>
      </c>
      <c r="E9">
        <v>27905</v>
      </c>
      <c r="F9">
        <v>51966</v>
      </c>
    </row>
    <row r="10" spans="1:6" x14ac:dyDescent="0.2">
      <c r="A10" t="s">
        <v>6</v>
      </c>
      <c r="B10">
        <v>97500</v>
      </c>
      <c r="C10">
        <v>67980</v>
      </c>
      <c r="D10">
        <v>16270</v>
      </c>
      <c r="E10">
        <v>28740</v>
      </c>
      <c r="F10">
        <v>50023</v>
      </c>
    </row>
    <row r="11" spans="1:6" x14ac:dyDescent="0.2">
      <c r="A11" t="s">
        <v>7</v>
      </c>
      <c r="B11">
        <v>64908</v>
      </c>
      <c r="C11">
        <v>50172</v>
      </c>
      <c r="D11">
        <v>17906</v>
      </c>
      <c r="E11">
        <v>14269</v>
      </c>
      <c r="F11">
        <v>30626</v>
      </c>
    </row>
    <row r="12" spans="1:6" x14ac:dyDescent="0.2">
      <c r="A12" t="s">
        <v>8</v>
      </c>
      <c r="B12">
        <v>58455</v>
      </c>
      <c r="C12">
        <v>44770</v>
      </c>
      <c r="D12">
        <v>15730</v>
      </c>
      <c r="E12">
        <v>13186</v>
      </c>
      <c r="F12">
        <v>27580</v>
      </c>
    </row>
    <row r="13" spans="1:6" x14ac:dyDescent="0.2">
      <c r="A13" t="s">
        <v>9</v>
      </c>
      <c r="B13">
        <v>84698</v>
      </c>
      <c r="C13">
        <v>62054</v>
      </c>
      <c r="D13">
        <v>18248</v>
      </c>
      <c r="E13">
        <v>21972</v>
      </c>
      <c r="F13">
        <v>42125</v>
      </c>
    </row>
    <row r="14" spans="1:6" x14ac:dyDescent="0.2">
      <c r="A14" t="s">
        <v>10</v>
      </c>
      <c r="B14">
        <v>2753</v>
      </c>
      <c r="C14">
        <v>2318</v>
      </c>
      <c r="D14">
        <v>1824</v>
      </c>
      <c r="E14">
        <v>420</v>
      </c>
      <c r="F14">
        <v>433</v>
      </c>
    </row>
    <row r="15" spans="1:6" x14ac:dyDescent="0.2">
      <c r="A15" t="s">
        <v>11</v>
      </c>
      <c r="B15">
        <v>2524</v>
      </c>
      <c r="C15">
        <v>2143</v>
      </c>
      <c r="D15">
        <v>1700</v>
      </c>
      <c r="E15">
        <v>369</v>
      </c>
      <c r="F15">
        <v>385</v>
      </c>
    </row>
    <row r="16" spans="1:6" x14ac:dyDescent="0.2">
      <c r="A16" t="s">
        <v>12</v>
      </c>
      <c r="B16">
        <v>2030</v>
      </c>
      <c r="C16">
        <v>1662</v>
      </c>
      <c r="D16">
        <v>1346</v>
      </c>
      <c r="E16">
        <v>351</v>
      </c>
      <c r="F16">
        <v>275</v>
      </c>
    </row>
    <row r="17" spans="1:6" x14ac:dyDescent="0.2">
      <c r="A17" t="s">
        <v>13</v>
      </c>
      <c r="B17">
        <v>30</v>
      </c>
      <c r="C17">
        <v>20</v>
      </c>
      <c r="D17">
        <v>11</v>
      </c>
      <c r="E17">
        <v>10</v>
      </c>
      <c r="F17">
        <v>8</v>
      </c>
    </row>
    <row r="18" spans="1:6" x14ac:dyDescent="0.2">
      <c r="A18" t="s">
        <v>14</v>
      </c>
      <c r="B18">
        <v>41</v>
      </c>
      <c r="C18">
        <v>30</v>
      </c>
      <c r="D18">
        <v>19</v>
      </c>
      <c r="E18">
        <v>11</v>
      </c>
      <c r="F18">
        <v>9</v>
      </c>
    </row>
    <row r="19" spans="1:6" x14ac:dyDescent="0.2">
      <c r="A19" t="s">
        <v>15</v>
      </c>
      <c r="B19">
        <v>41</v>
      </c>
      <c r="C19">
        <v>23</v>
      </c>
      <c r="D19">
        <v>9</v>
      </c>
      <c r="E19">
        <v>18</v>
      </c>
      <c r="F19">
        <v>10</v>
      </c>
    </row>
    <row r="20" spans="1:6" x14ac:dyDescent="0.2">
      <c r="A20" t="s">
        <v>16</v>
      </c>
      <c r="B20">
        <v>23</v>
      </c>
      <c r="C20">
        <v>13</v>
      </c>
      <c r="D20">
        <v>9</v>
      </c>
      <c r="E20">
        <v>10</v>
      </c>
      <c r="F20">
        <v>4</v>
      </c>
    </row>
    <row r="21" spans="1:6" x14ac:dyDescent="0.2">
      <c r="A21" t="s">
        <v>17</v>
      </c>
      <c r="B21">
        <v>27</v>
      </c>
      <c r="C21">
        <v>17</v>
      </c>
      <c r="D21">
        <v>10</v>
      </c>
      <c r="E21">
        <v>9</v>
      </c>
      <c r="F21">
        <v>5</v>
      </c>
    </row>
    <row r="22" spans="1:6" x14ac:dyDescent="0.2">
      <c r="A22" t="s">
        <v>18</v>
      </c>
      <c r="B22">
        <v>25</v>
      </c>
      <c r="C22">
        <v>17</v>
      </c>
      <c r="D22">
        <v>15</v>
      </c>
      <c r="E22">
        <v>7</v>
      </c>
      <c r="F2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A7C9-4E9E-2D47-928E-A5A2FFC6AE3C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19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112169</v>
      </c>
      <c r="C2">
        <f>((B2*200/50)*(100/90))</f>
        <v>498528.88888888893</v>
      </c>
      <c r="D2">
        <f>AVERAGE(C2:C4)</f>
        <v>481420.74074074073</v>
      </c>
      <c r="E2">
        <f>(C2/$D$2)*100</f>
        <v>103.55367907951465</v>
      </c>
    </row>
    <row r="3" spans="1:5" x14ac:dyDescent="0.2">
      <c r="A3" t="s">
        <v>28</v>
      </c>
      <c r="B3">
        <v>105727</v>
      </c>
      <c r="C3">
        <f t="shared" ref="C3:C22" si="0">((B3*200/50)*(100/90))</f>
        <v>469897.77777777781</v>
      </c>
      <c r="E3">
        <f t="shared" ref="E3:E22" si="1">(C3/$D$2)*100</f>
        <v>97.606467277410388</v>
      </c>
    </row>
    <row r="4" spans="1:5" x14ac:dyDescent="0.2">
      <c r="A4" t="s">
        <v>29</v>
      </c>
      <c r="B4">
        <v>107063</v>
      </c>
      <c r="C4">
        <f t="shared" si="0"/>
        <v>475835.55555555556</v>
      </c>
      <c r="E4">
        <f t="shared" si="1"/>
        <v>98.839853643074974</v>
      </c>
    </row>
    <row r="5" spans="1:5" x14ac:dyDescent="0.2">
      <c r="A5" t="s">
        <v>1</v>
      </c>
      <c r="B5">
        <v>108564</v>
      </c>
      <c r="C5">
        <f t="shared" si="0"/>
        <v>482506.66666666669</v>
      </c>
      <c r="E5">
        <f t="shared" si="1"/>
        <v>100.22556691767271</v>
      </c>
    </row>
    <row r="6" spans="1:5" x14ac:dyDescent="0.2">
      <c r="A6" t="s">
        <v>2</v>
      </c>
      <c r="B6">
        <v>100347</v>
      </c>
      <c r="C6">
        <f t="shared" si="0"/>
        <v>445986.66666666669</v>
      </c>
      <c r="E6">
        <f t="shared" si="1"/>
        <v>92.639686852802967</v>
      </c>
    </row>
    <row r="7" spans="1:5" x14ac:dyDescent="0.2">
      <c r="A7" t="s">
        <v>3</v>
      </c>
      <c r="B7">
        <v>107284</v>
      </c>
      <c r="C7">
        <f t="shared" si="0"/>
        <v>476817.77777777781</v>
      </c>
      <c r="E7">
        <f t="shared" si="1"/>
        <v>99.043879381706617</v>
      </c>
    </row>
    <row r="8" spans="1:5" x14ac:dyDescent="0.2">
      <c r="A8" t="s">
        <v>4</v>
      </c>
      <c r="B8">
        <v>103576</v>
      </c>
      <c r="C8">
        <f t="shared" si="0"/>
        <v>460337.77777777781</v>
      </c>
      <c r="E8">
        <f t="shared" si="1"/>
        <v>95.620678300954893</v>
      </c>
    </row>
    <row r="9" spans="1:5" x14ac:dyDescent="0.2">
      <c r="A9" t="s">
        <v>5</v>
      </c>
      <c r="B9">
        <v>96459</v>
      </c>
      <c r="C9">
        <f t="shared" si="0"/>
        <v>428706.66666666669</v>
      </c>
      <c r="E9">
        <f t="shared" si="1"/>
        <v>89.050310962306028</v>
      </c>
    </row>
    <row r="10" spans="1:5" x14ac:dyDescent="0.2">
      <c r="A10" t="s">
        <v>6</v>
      </c>
      <c r="B10">
        <v>97500</v>
      </c>
      <c r="C10">
        <f t="shared" si="0"/>
        <v>433333.33333333337</v>
      </c>
      <c r="E10">
        <f t="shared" si="1"/>
        <v>90.011355278665945</v>
      </c>
    </row>
    <row r="11" spans="1:5" x14ac:dyDescent="0.2">
      <c r="A11" t="s">
        <v>7</v>
      </c>
      <c r="B11">
        <v>64908</v>
      </c>
      <c r="C11">
        <f t="shared" si="0"/>
        <v>288480</v>
      </c>
      <c r="E11">
        <f t="shared" si="1"/>
        <v>59.922636394129725</v>
      </c>
    </row>
    <row r="12" spans="1:5" x14ac:dyDescent="0.2">
      <c r="A12" t="s">
        <v>8</v>
      </c>
      <c r="B12">
        <v>58455</v>
      </c>
      <c r="C12">
        <f t="shared" si="0"/>
        <v>259800</v>
      </c>
      <c r="E12">
        <f t="shared" si="1"/>
        <v>53.965269464763246</v>
      </c>
    </row>
    <row r="13" spans="1:5" x14ac:dyDescent="0.2">
      <c r="A13" t="s">
        <v>9</v>
      </c>
      <c r="B13">
        <v>84698</v>
      </c>
      <c r="C13">
        <f t="shared" si="0"/>
        <v>376435.55555555556</v>
      </c>
      <c r="E13">
        <f t="shared" si="1"/>
        <v>78.192633532230232</v>
      </c>
    </row>
    <row r="14" spans="1:5" x14ac:dyDescent="0.2">
      <c r="A14" t="s">
        <v>10</v>
      </c>
      <c r="B14">
        <v>2753</v>
      </c>
      <c r="C14">
        <f t="shared" si="0"/>
        <v>12235.555555555557</v>
      </c>
      <c r="E14">
        <f t="shared" si="1"/>
        <v>2.5415513957145368</v>
      </c>
    </row>
    <row r="15" spans="1:5" x14ac:dyDescent="0.2">
      <c r="A15" t="s">
        <v>11</v>
      </c>
      <c r="B15">
        <v>2524</v>
      </c>
      <c r="C15">
        <f t="shared" si="0"/>
        <v>11217.777777777777</v>
      </c>
      <c r="E15">
        <f t="shared" si="1"/>
        <v>2.3301401099831054</v>
      </c>
    </row>
    <row r="16" spans="1:5" x14ac:dyDescent="0.2">
      <c r="A16" t="s">
        <v>12</v>
      </c>
      <c r="B16">
        <v>2030</v>
      </c>
      <c r="C16">
        <f t="shared" si="0"/>
        <v>9022.2222222222226</v>
      </c>
      <c r="E16">
        <f t="shared" si="1"/>
        <v>1.8740825765711984</v>
      </c>
    </row>
    <row r="17" spans="1:5" x14ac:dyDescent="0.2">
      <c r="A17" t="s">
        <v>13</v>
      </c>
      <c r="B17">
        <v>30</v>
      </c>
      <c r="C17">
        <f t="shared" si="0"/>
        <v>133.33333333333334</v>
      </c>
      <c r="E17">
        <f t="shared" si="1"/>
        <v>2.7695801624204906E-2</v>
      </c>
    </row>
    <row r="18" spans="1:5" x14ac:dyDescent="0.2">
      <c r="A18" t="s">
        <v>14</v>
      </c>
      <c r="B18">
        <v>41</v>
      </c>
      <c r="C18">
        <f t="shared" si="0"/>
        <v>182.22222222222223</v>
      </c>
      <c r="E18">
        <f t="shared" si="1"/>
        <v>3.7850928886413365E-2</v>
      </c>
    </row>
    <row r="19" spans="1:5" x14ac:dyDescent="0.2">
      <c r="A19" t="s">
        <v>15</v>
      </c>
      <c r="B19">
        <v>41</v>
      </c>
      <c r="C19">
        <f t="shared" si="0"/>
        <v>182.22222222222223</v>
      </c>
      <c r="E19">
        <f t="shared" si="1"/>
        <v>3.7850928886413365E-2</v>
      </c>
    </row>
    <row r="20" spans="1:5" x14ac:dyDescent="0.2">
      <c r="A20" t="s">
        <v>16</v>
      </c>
      <c r="B20">
        <v>23</v>
      </c>
      <c r="C20">
        <f t="shared" si="0"/>
        <v>102.22222222222223</v>
      </c>
      <c r="E20">
        <f t="shared" si="1"/>
        <v>2.1233447911890423E-2</v>
      </c>
    </row>
    <row r="21" spans="1:5" x14ac:dyDescent="0.2">
      <c r="A21" t="s">
        <v>17</v>
      </c>
      <c r="B21">
        <v>27</v>
      </c>
      <c r="C21">
        <f t="shared" si="0"/>
        <v>120</v>
      </c>
      <c r="E21">
        <f t="shared" si="1"/>
        <v>2.4926221461784411E-2</v>
      </c>
    </row>
    <row r="22" spans="1:5" x14ac:dyDescent="0.2">
      <c r="A22" t="s">
        <v>18</v>
      </c>
      <c r="B22">
        <v>25</v>
      </c>
      <c r="C22">
        <f t="shared" si="0"/>
        <v>111.11111111111111</v>
      </c>
      <c r="E22">
        <f t="shared" si="1"/>
        <v>2.3079834686837417E-2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CB18-DC9D-E74C-9048-148AF6CB4B9E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6.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21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34430</v>
      </c>
      <c r="C2">
        <f>((B2*200/50)*(100/90))</f>
        <v>153022.22222222222</v>
      </c>
      <c r="D2">
        <f>AVERAGE(C2:C4)</f>
        <v>148383.70370370371</v>
      </c>
      <c r="E2">
        <f>(C2/$D$2)*100</f>
        <v>103.12602961291546</v>
      </c>
    </row>
    <row r="3" spans="1:5" x14ac:dyDescent="0.2">
      <c r="A3" t="s">
        <v>28</v>
      </c>
      <c r="B3">
        <v>32160</v>
      </c>
      <c r="C3">
        <f t="shared" ref="C3:C22" si="0">((B3*200/50)*(100/90))</f>
        <v>142933.33333333334</v>
      </c>
      <c r="E3">
        <f t="shared" ref="E3:E22" si="1">(C3/$D$2)*100</f>
        <v>96.326840323885023</v>
      </c>
    </row>
    <row r="4" spans="1:5" x14ac:dyDescent="0.2">
      <c r="A4" t="s">
        <v>29</v>
      </c>
      <c r="B4">
        <v>33569</v>
      </c>
      <c r="C4">
        <f t="shared" si="0"/>
        <v>149195.55555555556</v>
      </c>
      <c r="E4">
        <f t="shared" si="1"/>
        <v>100.5471300631995</v>
      </c>
    </row>
    <row r="5" spans="1:5" x14ac:dyDescent="0.2">
      <c r="A5" t="s">
        <v>1</v>
      </c>
      <c r="B5">
        <v>33911</v>
      </c>
      <c r="C5">
        <f t="shared" si="0"/>
        <v>150715.55555555556</v>
      </c>
      <c r="E5">
        <f t="shared" si="1"/>
        <v>101.57150131291246</v>
      </c>
    </row>
    <row r="6" spans="1:5" x14ac:dyDescent="0.2">
      <c r="A6" t="s">
        <v>2</v>
      </c>
      <c r="B6">
        <v>30344</v>
      </c>
      <c r="C6">
        <f t="shared" si="0"/>
        <v>134862.22222222222</v>
      </c>
      <c r="E6">
        <f t="shared" si="1"/>
        <v>90.887488892660656</v>
      </c>
    </row>
    <row r="7" spans="1:5" x14ac:dyDescent="0.2">
      <c r="A7" t="s">
        <v>3</v>
      </c>
      <c r="B7">
        <v>33284</v>
      </c>
      <c r="C7">
        <f t="shared" si="0"/>
        <v>147928.88888888891</v>
      </c>
      <c r="E7">
        <f t="shared" si="1"/>
        <v>99.69348735510539</v>
      </c>
    </row>
    <row r="8" spans="1:5" x14ac:dyDescent="0.2">
      <c r="A8" t="s">
        <v>4</v>
      </c>
      <c r="B8">
        <v>29543</v>
      </c>
      <c r="C8">
        <f t="shared" si="0"/>
        <v>131302.22222222222</v>
      </c>
      <c r="E8">
        <f t="shared" si="1"/>
        <v>88.488303597280321</v>
      </c>
    </row>
    <row r="9" spans="1:5" x14ac:dyDescent="0.2">
      <c r="A9" t="s">
        <v>5</v>
      </c>
      <c r="B9">
        <v>27905</v>
      </c>
      <c r="C9">
        <f t="shared" si="0"/>
        <v>124022.22222222223</v>
      </c>
      <c r="E9">
        <f t="shared" si="1"/>
        <v>83.582104453918276</v>
      </c>
    </row>
    <row r="10" spans="1:5" x14ac:dyDescent="0.2">
      <c r="A10" t="s">
        <v>6</v>
      </c>
      <c r="B10">
        <v>28740</v>
      </c>
      <c r="C10">
        <f t="shared" si="0"/>
        <v>127733.33333333334</v>
      </c>
      <c r="E10">
        <f t="shared" si="1"/>
        <v>86.083127826755472</v>
      </c>
    </row>
    <row r="11" spans="1:5" x14ac:dyDescent="0.2">
      <c r="A11" t="s">
        <v>7</v>
      </c>
      <c r="B11">
        <v>14269</v>
      </c>
      <c r="C11">
        <f t="shared" si="0"/>
        <v>63417.777777777781</v>
      </c>
      <c r="E11">
        <f t="shared" si="1"/>
        <v>42.739044918579459</v>
      </c>
    </row>
    <row r="12" spans="1:5" x14ac:dyDescent="0.2">
      <c r="A12" t="s">
        <v>8</v>
      </c>
      <c r="B12">
        <v>13186</v>
      </c>
      <c r="C12">
        <f t="shared" si="0"/>
        <v>58604.444444444445</v>
      </c>
      <c r="E12">
        <f t="shared" si="1"/>
        <v>39.495202627821762</v>
      </c>
    </row>
    <row r="13" spans="1:5" x14ac:dyDescent="0.2">
      <c r="A13" t="s">
        <v>9</v>
      </c>
      <c r="B13">
        <v>21972</v>
      </c>
      <c r="C13">
        <f t="shared" si="0"/>
        <v>97653.333333333343</v>
      </c>
      <c r="E13">
        <f t="shared" si="1"/>
        <v>65.811359937699066</v>
      </c>
    </row>
    <row r="14" spans="1:5" x14ac:dyDescent="0.2">
      <c r="A14" t="s">
        <v>10</v>
      </c>
      <c r="B14">
        <v>420</v>
      </c>
      <c r="C14">
        <f t="shared" si="0"/>
        <v>1866.6666666666667</v>
      </c>
      <c r="E14">
        <f t="shared" si="1"/>
        <v>1.2579997803492446</v>
      </c>
    </row>
    <row r="15" spans="1:5" x14ac:dyDescent="0.2">
      <c r="A15" t="s">
        <v>11</v>
      </c>
      <c r="B15">
        <v>369</v>
      </c>
      <c r="C15">
        <f t="shared" si="0"/>
        <v>1640</v>
      </c>
      <c r="E15">
        <f t="shared" si="1"/>
        <v>1.1052426641639792</v>
      </c>
    </row>
    <row r="16" spans="1:5" x14ac:dyDescent="0.2">
      <c r="A16" t="s">
        <v>12</v>
      </c>
      <c r="B16">
        <v>351</v>
      </c>
      <c r="C16">
        <f t="shared" si="0"/>
        <v>1560</v>
      </c>
      <c r="E16">
        <f t="shared" si="1"/>
        <v>1.0513283878632973</v>
      </c>
    </row>
    <row r="17" spans="1:5" x14ac:dyDescent="0.2">
      <c r="A17" t="s">
        <v>13</v>
      </c>
      <c r="B17">
        <v>10</v>
      </c>
      <c r="C17">
        <f t="shared" si="0"/>
        <v>44.444444444444443</v>
      </c>
      <c r="E17">
        <f t="shared" si="1"/>
        <v>2.9952375722601062E-2</v>
      </c>
    </row>
    <row r="18" spans="1:5" x14ac:dyDescent="0.2">
      <c r="A18" t="s">
        <v>14</v>
      </c>
      <c r="B18">
        <v>11</v>
      </c>
      <c r="C18">
        <f t="shared" si="0"/>
        <v>48.888888888888893</v>
      </c>
      <c r="E18">
        <f t="shared" si="1"/>
        <v>3.2947613294861178E-2</v>
      </c>
    </row>
    <row r="19" spans="1:5" x14ac:dyDescent="0.2">
      <c r="A19" t="s">
        <v>15</v>
      </c>
      <c r="B19">
        <v>18</v>
      </c>
      <c r="C19">
        <f t="shared" si="0"/>
        <v>80</v>
      </c>
      <c r="E19">
        <f t="shared" si="1"/>
        <v>5.3914276300681914E-2</v>
      </c>
    </row>
    <row r="20" spans="1:5" x14ac:dyDescent="0.2">
      <c r="A20" t="s">
        <v>16</v>
      </c>
      <c r="B20">
        <v>10</v>
      </c>
      <c r="C20">
        <f t="shared" si="0"/>
        <v>44.444444444444443</v>
      </c>
      <c r="E20">
        <f t="shared" si="1"/>
        <v>2.9952375722601062E-2</v>
      </c>
    </row>
    <row r="21" spans="1:5" x14ac:dyDescent="0.2">
      <c r="A21" t="s">
        <v>17</v>
      </c>
      <c r="B21">
        <v>9</v>
      </c>
      <c r="C21">
        <f t="shared" si="0"/>
        <v>40</v>
      </c>
      <c r="E21">
        <f t="shared" si="1"/>
        <v>2.6957138150340957E-2</v>
      </c>
    </row>
    <row r="22" spans="1:5" x14ac:dyDescent="0.2">
      <c r="A22" t="s">
        <v>18</v>
      </c>
      <c r="B22">
        <v>7</v>
      </c>
      <c r="C22">
        <f t="shared" si="0"/>
        <v>31.111111111111114</v>
      </c>
      <c r="E22">
        <f t="shared" si="1"/>
        <v>2.0966663005820747E-2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D025-2DC6-5F43-B728-4BBC6182ADBC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5.8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20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76770</v>
      </c>
      <c r="C2">
        <f>((B2*200/50)*(100/90))</f>
        <v>341200</v>
      </c>
      <c r="D2">
        <f>AVERAGE(C2:C4)</f>
        <v>329130.37037037039</v>
      </c>
      <c r="E2">
        <f>(C2/$D$2)*100</f>
        <v>103.66712728942262</v>
      </c>
    </row>
    <row r="3" spans="1:5" x14ac:dyDescent="0.2">
      <c r="A3" t="s">
        <v>28</v>
      </c>
      <c r="B3">
        <v>72733</v>
      </c>
      <c r="C3">
        <f t="shared" ref="C3:C22" si="0">((B3*200/50)*(100/90))</f>
        <v>323257.77777777781</v>
      </c>
      <c r="E3">
        <f t="shared" ref="E3:E22" si="1">(C3/$D$2)*100</f>
        <v>98.215724490576733</v>
      </c>
    </row>
    <row r="4" spans="1:5" x14ac:dyDescent="0.2">
      <c r="A4" t="s">
        <v>29</v>
      </c>
      <c r="B4">
        <v>72660</v>
      </c>
      <c r="C4">
        <f t="shared" si="0"/>
        <v>322933.33333333337</v>
      </c>
      <c r="E4">
        <f t="shared" si="1"/>
        <v>98.117148220000644</v>
      </c>
    </row>
    <row r="5" spans="1:5" x14ac:dyDescent="0.2">
      <c r="A5" t="s">
        <v>1</v>
      </c>
      <c r="B5">
        <v>73798</v>
      </c>
      <c r="C5">
        <f t="shared" si="0"/>
        <v>327991.11111111112</v>
      </c>
      <c r="E5">
        <f t="shared" si="1"/>
        <v>99.653857753091188</v>
      </c>
    </row>
    <row r="6" spans="1:5" x14ac:dyDescent="0.2">
      <c r="A6" t="s">
        <v>2</v>
      </c>
      <c r="B6">
        <v>69168</v>
      </c>
      <c r="C6">
        <f t="shared" si="0"/>
        <v>307413.33333333337</v>
      </c>
      <c r="E6">
        <f t="shared" si="1"/>
        <v>93.40169155079829</v>
      </c>
    </row>
    <row r="7" spans="1:5" x14ac:dyDescent="0.2">
      <c r="A7" t="s">
        <v>3</v>
      </c>
      <c r="B7">
        <v>73140</v>
      </c>
      <c r="C7">
        <f t="shared" si="0"/>
        <v>325066.66666666669</v>
      </c>
      <c r="E7">
        <f t="shared" si="1"/>
        <v>98.765320958035318</v>
      </c>
    </row>
    <row r="8" spans="1:5" x14ac:dyDescent="0.2">
      <c r="A8" t="s">
        <v>4</v>
      </c>
      <c r="B8">
        <v>73249</v>
      </c>
      <c r="C8">
        <f t="shared" si="0"/>
        <v>325551.11111111112</v>
      </c>
      <c r="E8">
        <f t="shared" si="1"/>
        <v>98.912510183964017</v>
      </c>
    </row>
    <row r="9" spans="1:5" x14ac:dyDescent="0.2">
      <c r="A9" t="s">
        <v>5</v>
      </c>
      <c r="B9">
        <v>67823</v>
      </c>
      <c r="C9">
        <f t="shared" si="0"/>
        <v>301435.55555555556</v>
      </c>
      <c r="E9">
        <f t="shared" si="1"/>
        <v>91.585457524430254</v>
      </c>
    </row>
    <row r="10" spans="1:5" x14ac:dyDescent="0.2">
      <c r="A10" t="s">
        <v>6</v>
      </c>
      <c r="B10">
        <v>67980</v>
      </c>
      <c r="C10">
        <f t="shared" si="0"/>
        <v>302133.33333333337</v>
      </c>
      <c r="E10">
        <f t="shared" si="1"/>
        <v>91.797464024162451</v>
      </c>
    </row>
    <row r="11" spans="1:5" x14ac:dyDescent="0.2">
      <c r="A11" t="s">
        <v>7</v>
      </c>
      <c r="B11">
        <v>50172</v>
      </c>
      <c r="C11">
        <f t="shared" si="0"/>
        <v>222986.66666666669</v>
      </c>
      <c r="E11">
        <f t="shared" si="1"/>
        <v>67.750255443075574</v>
      </c>
    </row>
    <row r="12" spans="1:5" x14ac:dyDescent="0.2">
      <c r="A12" t="s">
        <v>8</v>
      </c>
      <c r="B12">
        <v>44770</v>
      </c>
      <c r="C12">
        <f t="shared" si="0"/>
        <v>198977.77777777778</v>
      </c>
      <c r="E12">
        <f t="shared" si="1"/>
        <v>60.455611420443546</v>
      </c>
    </row>
    <row r="13" spans="1:5" x14ac:dyDescent="0.2">
      <c r="A13" t="s">
        <v>9</v>
      </c>
      <c r="B13">
        <v>62054</v>
      </c>
      <c r="C13">
        <f t="shared" si="0"/>
        <v>275795.55555555556</v>
      </c>
      <c r="E13">
        <f t="shared" si="1"/>
        <v>83.795231429175871</v>
      </c>
    </row>
    <row r="14" spans="1:5" x14ac:dyDescent="0.2">
      <c r="A14" t="s">
        <v>10</v>
      </c>
      <c r="B14">
        <v>2318</v>
      </c>
      <c r="C14">
        <f t="shared" si="0"/>
        <v>10302.222222222223</v>
      </c>
      <c r="E14">
        <f t="shared" si="1"/>
        <v>3.130134180759172</v>
      </c>
    </row>
    <row r="15" spans="1:5" x14ac:dyDescent="0.2">
      <c r="A15" t="s">
        <v>11</v>
      </c>
      <c r="B15">
        <v>2143</v>
      </c>
      <c r="C15">
        <f t="shared" si="0"/>
        <v>9524.4444444444453</v>
      </c>
      <c r="E15">
        <f t="shared" si="1"/>
        <v>2.8938212033506931</v>
      </c>
    </row>
    <row r="16" spans="1:5" x14ac:dyDescent="0.2">
      <c r="A16" t="s">
        <v>12</v>
      </c>
      <c r="B16">
        <v>1662</v>
      </c>
      <c r="C16">
        <f t="shared" si="0"/>
        <v>7386.666666666667</v>
      </c>
      <c r="E16">
        <f t="shared" si="1"/>
        <v>2.2442981054451012</v>
      </c>
    </row>
    <row r="17" spans="1:5" x14ac:dyDescent="0.2">
      <c r="A17" t="s">
        <v>13</v>
      </c>
      <c r="B17">
        <v>20</v>
      </c>
      <c r="C17">
        <f t="shared" si="0"/>
        <v>88.888888888888886</v>
      </c>
      <c r="E17">
        <f t="shared" si="1"/>
        <v>2.7007197418111924E-2</v>
      </c>
    </row>
    <row r="18" spans="1:5" x14ac:dyDescent="0.2">
      <c r="A18" t="s">
        <v>14</v>
      </c>
      <c r="B18">
        <v>30</v>
      </c>
      <c r="C18">
        <f t="shared" si="0"/>
        <v>133.33333333333334</v>
      </c>
      <c r="E18">
        <f t="shared" si="1"/>
        <v>4.0510796127167889E-2</v>
      </c>
    </row>
    <row r="19" spans="1:5" x14ac:dyDescent="0.2">
      <c r="A19" t="s">
        <v>15</v>
      </c>
      <c r="B19">
        <v>23</v>
      </c>
      <c r="C19">
        <f t="shared" si="0"/>
        <v>102.22222222222223</v>
      </c>
      <c r="E19">
        <f t="shared" si="1"/>
        <v>3.1058277030828717E-2</v>
      </c>
    </row>
    <row r="20" spans="1:5" x14ac:dyDescent="0.2">
      <c r="A20" t="s">
        <v>16</v>
      </c>
      <c r="B20">
        <v>13</v>
      </c>
      <c r="C20">
        <f t="shared" si="0"/>
        <v>57.777777777777779</v>
      </c>
      <c r="E20">
        <f t="shared" si="1"/>
        <v>1.7554678321772751E-2</v>
      </c>
    </row>
    <row r="21" spans="1:5" x14ac:dyDescent="0.2">
      <c r="A21" t="s">
        <v>17</v>
      </c>
      <c r="B21">
        <v>17</v>
      </c>
      <c r="C21">
        <f t="shared" si="0"/>
        <v>75.555555555555557</v>
      </c>
      <c r="E21">
        <f t="shared" si="1"/>
        <v>2.2956117805395138E-2</v>
      </c>
    </row>
    <row r="22" spans="1:5" x14ac:dyDescent="0.2">
      <c r="A22" t="s">
        <v>18</v>
      </c>
      <c r="B22">
        <v>17</v>
      </c>
      <c r="C22">
        <f t="shared" si="0"/>
        <v>75.555555555555557</v>
      </c>
      <c r="E22">
        <f t="shared" si="1"/>
        <v>2.2956117805395138E-2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BDA0-F2D4-B64B-B9EC-428EF885995E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22.66406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22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15488</v>
      </c>
      <c r="C2">
        <f>((B2*200/50)*(100/90))</f>
        <v>68835.555555555562</v>
      </c>
      <c r="D2">
        <f>AVERAGE(C2:C4)</f>
        <v>66358.518518518526</v>
      </c>
      <c r="E2">
        <f>(C2/$D$2)*100</f>
        <v>103.7328094302554</v>
      </c>
    </row>
    <row r="3" spans="1:5" x14ac:dyDescent="0.2">
      <c r="A3" t="s">
        <v>28</v>
      </c>
      <c r="B3">
        <v>13891</v>
      </c>
      <c r="C3">
        <f t="shared" ref="C3:C22" si="0">((B3*200/50)*(100/90))</f>
        <v>61737.777777777781</v>
      </c>
      <c r="E3">
        <f t="shared" ref="E3:E22" si="1">(C3/$D$2)*100</f>
        <v>93.036702982675465</v>
      </c>
    </row>
    <row r="4" spans="1:5" x14ac:dyDescent="0.2">
      <c r="A4" t="s">
        <v>29</v>
      </c>
      <c r="B4">
        <v>15413</v>
      </c>
      <c r="C4">
        <f t="shared" si="0"/>
        <v>68502.222222222219</v>
      </c>
      <c r="E4">
        <f t="shared" si="1"/>
        <v>103.23048758706909</v>
      </c>
    </row>
    <row r="5" spans="1:5" x14ac:dyDescent="0.2">
      <c r="A5" t="s">
        <v>1</v>
      </c>
      <c r="B5">
        <v>14491</v>
      </c>
      <c r="C5">
        <f t="shared" si="0"/>
        <v>64404.444444444445</v>
      </c>
      <c r="E5">
        <f t="shared" si="1"/>
        <v>97.055277728165734</v>
      </c>
    </row>
    <row r="6" spans="1:5" x14ac:dyDescent="0.2">
      <c r="A6" t="s">
        <v>2</v>
      </c>
      <c r="B6">
        <v>12943</v>
      </c>
      <c r="C6">
        <f t="shared" si="0"/>
        <v>57524.444444444445</v>
      </c>
      <c r="E6">
        <f t="shared" si="1"/>
        <v>86.687354884800854</v>
      </c>
    </row>
    <row r="7" spans="1:5" x14ac:dyDescent="0.2">
      <c r="A7" t="s">
        <v>3</v>
      </c>
      <c r="B7">
        <v>14206</v>
      </c>
      <c r="C7">
        <f t="shared" si="0"/>
        <v>63137.777777777781</v>
      </c>
      <c r="E7">
        <f t="shared" si="1"/>
        <v>95.146454724057861</v>
      </c>
    </row>
    <row r="8" spans="1:5" x14ac:dyDescent="0.2">
      <c r="A8" t="s">
        <v>4</v>
      </c>
      <c r="B8">
        <v>17114</v>
      </c>
      <c r="C8">
        <f t="shared" si="0"/>
        <v>76062.222222222219</v>
      </c>
      <c r="E8">
        <f t="shared" si="1"/>
        <v>114.623146990534</v>
      </c>
    </row>
    <row r="9" spans="1:5" x14ac:dyDescent="0.2">
      <c r="A9" t="s">
        <v>5</v>
      </c>
      <c r="B9">
        <v>14350</v>
      </c>
      <c r="C9">
        <f t="shared" si="0"/>
        <v>63777.777777777781</v>
      </c>
      <c r="E9">
        <f t="shared" si="1"/>
        <v>96.110912662975522</v>
      </c>
    </row>
    <row r="10" spans="1:5" x14ac:dyDescent="0.2">
      <c r="A10" t="s">
        <v>6</v>
      </c>
      <c r="B10">
        <v>16270</v>
      </c>
      <c r="C10">
        <f t="shared" si="0"/>
        <v>72311.111111111109</v>
      </c>
      <c r="E10">
        <f t="shared" si="1"/>
        <v>108.97035184854438</v>
      </c>
    </row>
    <row r="11" spans="1:5" x14ac:dyDescent="0.2">
      <c r="A11" t="s">
        <v>7</v>
      </c>
      <c r="B11">
        <v>17906</v>
      </c>
      <c r="C11">
        <f t="shared" si="0"/>
        <v>79582.222222222219</v>
      </c>
      <c r="E11">
        <f t="shared" si="1"/>
        <v>119.92766565458115</v>
      </c>
    </row>
    <row r="12" spans="1:5" x14ac:dyDescent="0.2">
      <c r="A12" t="s">
        <v>8</v>
      </c>
      <c r="B12">
        <v>15730</v>
      </c>
      <c r="C12">
        <f t="shared" si="0"/>
        <v>69911.111111111109</v>
      </c>
      <c r="E12">
        <f t="shared" si="1"/>
        <v>105.35363457760315</v>
      </c>
    </row>
    <row r="13" spans="1:5" x14ac:dyDescent="0.2">
      <c r="A13" t="s">
        <v>9</v>
      </c>
      <c r="B13">
        <v>18248</v>
      </c>
      <c r="C13">
        <f t="shared" si="0"/>
        <v>81102.222222222219</v>
      </c>
      <c r="E13">
        <f t="shared" si="1"/>
        <v>122.21825325951062</v>
      </c>
    </row>
    <row r="14" spans="1:5" x14ac:dyDescent="0.2">
      <c r="A14" t="s">
        <v>10</v>
      </c>
      <c r="B14">
        <v>1824</v>
      </c>
      <c r="C14">
        <f t="shared" si="0"/>
        <v>8106.666666666667</v>
      </c>
      <c r="E14">
        <f t="shared" si="1"/>
        <v>12.216467226290408</v>
      </c>
    </row>
    <row r="15" spans="1:5" x14ac:dyDescent="0.2">
      <c r="A15" t="s">
        <v>11</v>
      </c>
      <c r="B15">
        <v>1700</v>
      </c>
      <c r="C15">
        <f t="shared" si="0"/>
        <v>7555.5555555555557</v>
      </c>
      <c r="E15">
        <f t="shared" si="1"/>
        <v>11.385961778889087</v>
      </c>
    </row>
    <row r="16" spans="1:5" x14ac:dyDescent="0.2">
      <c r="A16" t="s">
        <v>12</v>
      </c>
      <c r="B16">
        <v>1346</v>
      </c>
      <c r="C16">
        <f t="shared" si="0"/>
        <v>5982.2222222222226</v>
      </c>
      <c r="E16">
        <f t="shared" si="1"/>
        <v>9.0150026790498305</v>
      </c>
    </row>
    <row r="17" spans="1:5" x14ac:dyDescent="0.2">
      <c r="A17" t="s">
        <v>13</v>
      </c>
      <c r="B17">
        <v>11</v>
      </c>
      <c r="C17">
        <f t="shared" si="0"/>
        <v>48.888888888888893</v>
      </c>
      <c r="E17">
        <f t="shared" si="1"/>
        <v>7.3673870333988214E-2</v>
      </c>
    </row>
    <row r="18" spans="1:5" x14ac:dyDescent="0.2">
      <c r="A18" t="s">
        <v>14</v>
      </c>
      <c r="B18">
        <v>19</v>
      </c>
      <c r="C18">
        <f t="shared" si="0"/>
        <v>84.444444444444443</v>
      </c>
      <c r="E18">
        <f t="shared" si="1"/>
        <v>0.12725486694052507</v>
      </c>
    </row>
    <row r="19" spans="1:5" x14ac:dyDescent="0.2">
      <c r="A19" t="s">
        <v>15</v>
      </c>
      <c r="B19">
        <v>9</v>
      </c>
      <c r="C19">
        <f t="shared" si="0"/>
        <v>40</v>
      </c>
      <c r="E19">
        <f t="shared" si="1"/>
        <v>6.0278621182353984E-2</v>
      </c>
    </row>
    <row r="20" spans="1:5" x14ac:dyDescent="0.2">
      <c r="A20" t="s">
        <v>16</v>
      </c>
      <c r="B20">
        <v>9</v>
      </c>
      <c r="C20">
        <f t="shared" si="0"/>
        <v>40</v>
      </c>
      <c r="E20">
        <f t="shared" si="1"/>
        <v>6.0278621182353984E-2</v>
      </c>
    </row>
    <row r="21" spans="1:5" x14ac:dyDescent="0.2">
      <c r="A21" t="s">
        <v>17</v>
      </c>
      <c r="B21">
        <v>10</v>
      </c>
      <c r="C21">
        <f t="shared" si="0"/>
        <v>44.444444444444443</v>
      </c>
      <c r="E21">
        <f t="shared" si="1"/>
        <v>6.6976245758171085E-2</v>
      </c>
    </row>
    <row r="22" spans="1:5" x14ac:dyDescent="0.2">
      <c r="A22" t="s">
        <v>18</v>
      </c>
      <c r="B22">
        <v>15</v>
      </c>
      <c r="C22">
        <f t="shared" si="0"/>
        <v>66.666666666666671</v>
      </c>
      <c r="E22">
        <f t="shared" si="1"/>
        <v>0.10046436863725666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7879-1A6B-7F4C-8FB3-5D7F7F90AE7D}">
  <dimension ref="A1:E22"/>
  <sheetViews>
    <sheetView tabSelected="1"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">
      <c r="A2" t="s">
        <v>27</v>
      </c>
      <c r="B2">
        <v>59736</v>
      </c>
      <c r="C2">
        <f>((B2*200/50)*(100/90))</f>
        <v>265493.33333333337</v>
      </c>
      <c r="D2">
        <f>AVERAGE(C2:C4)</f>
        <v>255788.14814814818</v>
      </c>
      <c r="E2">
        <f>(C2/$D$2)*100</f>
        <v>103.79422786217762</v>
      </c>
    </row>
    <row r="3" spans="1:5" x14ac:dyDescent="0.2">
      <c r="A3" t="s">
        <v>28</v>
      </c>
      <c r="B3">
        <v>57329</v>
      </c>
      <c r="C3">
        <f t="shared" ref="C3:C22" si="0">((B3*200/50)*(100/90))</f>
        <v>254795.55555555556</v>
      </c>
      <c r="E3">
        <f t="shared" ref="E3:E22" si="1">(C3/$D$2)*100</f>
        <v>99.61194738701586</v>
      </c>
    </row>
    <row r="4" spans="1:5" x14ac:dyDescent="0.2">
      <c r="A4" t="s">
        <v>29</v>
      </c>
      <c r="B4">
        <v>55592</v>
      </c>
      <c r="C4">
        <f t="shared" si="0"/>
        <v>247075.55555555556</v>
      </c>
      <c r="E4">
        <f t="shared" si="1"/>
        <v>96.593824750806505</v>
      </c>
    </row>
    <row r="5" spans="1:5" x14ac:dyDescent="0.2">
      <c r="A5" t="s">
        <v>1</v>
      </c>
      <c r="B5">
        <v>57799</v>
      </c>
      <c r="C5">
        <f t="shared" si="0"/>
        <v>256884.44444444447</v>
      </c>
      <c r="E5">
        <f t="shared" si="1"/>
        <v>100.4285954232959</v>
      </c>
    </row>
    <row r="6" spans="1:5" x14ac:dyDescent="0.2">
      <c r="A6" t="s">
        <v>2</v>
      </c>
      <c r="B6">
        <v>54679</v>
      </c>
      <c r="C6">
        <f t="shared" si="0"/>
        <v>243017.77777777778</v>
      </c>
      <c r="E6">
        <f t="shared" si="1"/>
        <v>95.007442501607215</v>
      </c>
    </row>
    <row r="7" spans="1:5" x14ac:dyDescent="0.2">
      <c r="A7" t="s">
        <v>3</v>
      </c>
      <c r="B7">
        <v>57360</v>
      </c>
      <c r="C7">
        <f t="shared" si="0"/>
        <v>254933.33333333334</v>
      </c>
      <c r="E7">
        <f t="shared" si="1"/>
        <v>99.66581140643008</v>
      </c>
    </row>
    <row r="8" spans="1:5" x14ac:dyDescent="0.2">
      <c r="A8" t="s">
        <v>4</v>
      </c>
      <c r="B8">
        <v>54416</v>
      </c>
      <c r="C8">
        <f t="shared" si="0"/>
        <v>241848.88888888891</v>
      </c>
      <c r="E8">
        <f t="shared" si="1"/>
        <v>94.550467111093084</v>
      </c>
    </row>
    <row r="9" spans="1:5" x14ac:dyDescent="0.2">
      <c r="A9" t="s">
        <v>5</v>
      </c>
      <c r="B9">
        <v>51966</v>
      </c>
      <c r="C9">
        <f t="shared" si="0"/>
        <v>230960</v>
      </c>
      <c r="E9">
        <f t="shared" si="1"/>
        <v>90.293472028356788</v>
      </c>
    </row>
    <row r="10" spans="1:5" x14ac:dyDescent="0.2">
      <c r="A10" t="s">
        <v>6</v>
      </c>
      <c r="B10">
        <v>50023</v>
      </c>
      <c r="C10">
        <f t="shared" si="0"/>
        <v>222324.44444444447</v>
      </c>
      <c r="E10">
        <f t="shared" si="1"/>
        <v>86.917414295394906</v>
      </c>
    </row>
    <row r="11" spans="1:5" x14ac:dyDescent="0.2">
      <c r="A11" t="s">
        <v>7</v>
      </c>
      <c r="B11">
        <v>30626</v>
      </c>
      <c r="C11">
        <f t="shared" si="0"/>
        <v>136115.55555555556</v>
      </c>
      <c r="E11">
        <f t="shared" si="1"/>
        <v>53.214176083217012</v>
      </c>
    </row>
    <row r="12" spans="1:5" x14ac:dyDescent="0.2">
      <c r="A12" t="s">
        <v>8</v>
      </c>
      <c r="B12">
        <v>27580</v>
      </c>
      <c r="C12">
        <f t="shared" si="0"/>
        <v>122577.77777777778</v>
      </c>
      <c r="E12">
        <f t="shared" si="1"/>
        <v>47.921601788517115</v>
      </c>
    </row>
    <row r="13" spans="1:5" x14ac:dyDescent="0.2">
      <c r="A13" t="s">
        <v>9</v>
      </c>
      <c r="B13">
        <v>42125</v>
      </c>
      <c r="C13">
        <f t="shared" si="0"/>
        <v>187222.22222222222</v>
      </c>
      <c r="E13">
        <f t="shared" si="1"/>
        <v>73.194252187863796</v>
      </c>
    </row>
    <row r="14" spans="1:5" x14ac:dyDescent="0.2">
      <c r="A14" t="s">
        <v>10</v>
      </c>
      <c r="B14">
        <v>433</v>
      </c>
      <c r="C14">
        <f t="shared" si="0"/>
        <v>1924.4444444444446</v>
      </c>
      <c r="E14">
        <f t="shared" si="1"/>
        <v>0.75235872278563853</v>
      </c>
    </row>
    <row r="15" spans="1:5" x14ac:dyDescent="0.2">
      <c r="A15" t="s">
        <v>11</v>
      </c>
      <c r="B15">
        <v>385</v>
      </c>
      <c r="C15">
        <f t="shared" si="0"/>
        <v>1711.1111111111111</v>
      </c>
      <c r="E15">
        <f t="shared" si="1"/>
        <v>0.66895637014427445</v>
      </c>
    </row>
    <row r="16" spans="1:5" x14ac:dyDescent="0.2">
      <c r="A16" t="s">
        <v>12</v>
      </c>
      <c r="B16">
        <v>275</v>
      </c>
      <c r="C16">
        <f t="shared" si="0"/>
        <v>1222.2222222222222</v>
      </c>
      <c r="E16">
        <f t="shared" si="1"/>
        <v>0.47782597867448168</v>
      </c>
    </row>
    <row r="17" spans="1:5" x14ac:dyDescent="0.2">
      <c r="A17" t="s">
        <v>13</v>
      </c>
      <c r="B17">
        <v>8</v>
      </c>
      <c r="C17">
        <f t="shared" si="0"/>
        <v>35.555555555555557</v>
      </c>
      <c r="E17">
        <f t="shared" si="1"/>
        <v>1.3900392106894015E-2</v>
      </c>
    </row>
    <row r="18" spans="1:5" x14ac:dyDescent="0.2">
      <c r="A18" t="s">
        <v>14</v>
      </c>
      <c r="B18">
        <v>9</v>
      </c>
      <c r="C18">
        <f t="shared" si="0"/>
        <v>40</v>
      </c>
      <c r="E18">
        <f t="shared" si="1"/>
        <v>1.5637941120255766E-2</v>
      </c>
    </row>
    <row r="19" spans="1:5" x14ac:dyDescent="0.2">
      <c r="A19" t="s">
        <v>15</v>
      </c>
      <c r="B19">
        <v>10</v>
      </c>
      <c r="C19">
        <f t="shared" si="0"/>
        <v>44.444444444444443</v>
      </c>
      <c r="E19">
        <f t="shared" si="1"/>
        <v>1.7375490133617517E-2</v>
      </c>
    </row>
    <row r="20" spans="1:5" x14ac:dyDescent="0.2">
      <c r="A20" t="s">
        <v>16</v>
      </c>
      <c r="B20">
        <v>4</v>
      </c>
      <c r="C20">
        <f t="shared" si="0"/>
        <v>17.777777777777779</v>
      </c>
      <c r="E20">
        <f t="shared" si="1"/>
        <v>6.9501960534470077E-3</v>
      </c>
    </row>
    <row r="21" spans="1:5" x14ac:dyDescent="0.2">
      <c r="A21" t="s">
        <v>17</v>
      </c>
      <c r="B21">
        <v>5</v>
      </c>
      <c r="C21">
        <f t="shared" si="0"/>
        <v>22.222222222222221</v>
      </c>
      <c r="E21">
        <f t="shared" si="1"/>
        <v>8.6877450668087584E-3</v>
      </c>
    </row>
    <row r="22" spans="1:5" x14ac:dyDescent="0.2">
      <c r="A22" t="s">
        <v>18</v>
      </c>
      <c r="B22">
        <v>2</v>
      </c>
      <c r="C22">
        <f t="shared" si="0"/>
        <v>8.8888888888888893</v>
      </c>
      <c r="E22">
        <f t="shared" si="1"/>
        <v>3.4750980267235039E-3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Live cells</vt:lpstr>
      <vt:lpstr>CD34-</vt:lpstr>
      <vt:lpstr>CD34+</vt:lpstr>
      <vt:lpstr>CD34+CD38+</vt:lpstr>
      <vt:lpstr>CD34+CD38-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Iasenza</dc:creator>
  <cp:lastModifiedBy>Isabella Iasenza</cp:lastModifiedBy>
  <dcterms:created xsi:type="dcterms:W3CDTF">2024-01-22T15:48:31Z</dcterms:created>
  <dcterms:modified xsi:type="dcterms:W3CDTF">2024-01-30T17:18:22Z</dcterms:modified>
</cp:coreProperties>
</file>